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Mein Vorhaben" sheetId="2" state="visible" r:id="rId4"/>
    <sheet name="Anleitung" sheetId="3" state="visible" r:id="rId5"/>
    <sheet name="Parameter" sheetId="4" state="visible" r:id="rId6"/>
    <sheet name="Preise" sheetId="5" state="visible" r:id="rId7"/>
    <sheet name="Vorgangsrechner" sheetId="6" state="visible" r:id="rId8"/>
    <sheet name="Rechenbeispiele" sheetId="7" state="visible" r:id="rId9"/>
    <sheet name="Bezugsmodelle" sheetId="8" state="visible" r:id="rId10"/>
    <sheet name="Arbeitskosten" sheetId="9" state="visible" r:id="rId11"/>
    <sheet name="Wirtschaftlichkeit" sheetId="10" state="visible" r:id="rId12"/>
    <sheet name="Sensitivität" sheetId="11" state="visible" r:id="rId13"/>
    <sheet name="Bewertungsmatrix" sheetId="12" state="visible" r:id="rId14"/>
    <sheet name="Fall A" sheetId="13" state="visible" r:id="rId15"/>
    <sheet name="Fall B" sheetId="14" state="visible" r:id="rId16"/>
    <sheet name="Fall C" sheetId="15" state="visible" r:id="rId17"/>
    <sheet name="Stichprobe" sheetId="16" state="visible" r:id="rId18"/>
  </sheets>
  <definedNames>
    <definedName function="false" hidden="false" name="Abo_ChatGPT_Business" vbProcedure="false">Parameter!$B$14</definedName>
    <definedName function="false" hidden="false" name="Abo_Claude_Team" vbProcedure="false">Parameter!$B$15</definedName>
    <definedName function="false" hidden="false" name="Abo_Claude_Team_Premium" vbProcedure="false">Parameter!$B$19</definedName>
    <definedName function="false" hidden="false" name="Abo_Copilot_Business" vbProcedure="false">Parameter!$B$18</definedName>
    <definedName function="false" hidden="false" name="Arbeitstage" vbProcedure="false">Parameter!$B$7</definedName>
    <definedName function="false" hidden="false" name="Batchfaktor" vbProcedure="false">Parameter!$B$5</definedName>
    <definedName function="false" hidden="false" name="Credit_Claude_Team" vbProcedure="false">Parameter!$B$16</definedName>
    <definedName function="false" hidden="false" name="Credit_Pool_Max" vbProcedure="false">Parameter!$B$17</definedName>
    <definedName function="false" hidden="false" name="Denk_Tokens_Szenario" vbProcedure="false">Parameter!$B$20</definedName>
    <definedName function="false" hidden="false" name="Extern_Stundensatz" vbProcedure="false">Parameter!$B$22</definedName>
    <definedName function="false" hidden="false" name="Horizont" vbProcedure="false">Parameter!$B$23</definedName>
    <definedName function="false" hidden="false" name="Preisfaktor_Szenario" vbProcedure="false">Parameter!$B$24</definedName>
    <definedName function="false" hidden="false" name="Routing_Anteil_komplex" vbProcedure="false">Parameter!$B$12</definedName>
    <definedName function="false" hidden="false" name="Strompreis" vbProcedure="false">Parameter!$B$21</definedName>
    <definedName function="false" hidden="false" name="Stundensatz" vbProcedure="false">Parameter!$B$6</definedName>
    <definedName function="false" hidden="false" name="Stundensatz_KMU" vbProcedure="false">Arbeitskosten!$B$13</definedName>
    <definedName function="false" hidden="false" name="Tokenizer_Faktor_alt" vbProcedure="false">Parameter!$B$11</definedName>
    <definedName function="false" hidden="false" name="Tokens_je_Frage" vbProcedure="false">Parameter!$B$10</definedName>
    <definedName function="false" hidden="false" name="Token_je_Wort" vbProcedure="false">Parameter!$B$8</definedName>
    <definedName function="false" hidden="false" name="Transkription_USD_min" vbProcedure="false">Parameter!$B$13</definedName>
    <definedName function="false" hidden="false" name="USD_je_EUR" vbProcedure="false">Parameter!$B$4</definedName>
    <definedName function="false" hidden="false" name="USD_je_EUR_Szenario" vbProcedure="false">Parameter!$B$25</definedName>
    <definedName function="false" hidden="false" name="USt_Satz" vbProcedure="false">Parameter!$B$26</definedName>
    <definedName function="false" hidden="false" name="Woerter_je_Seite" vbProcedure="false">Parameter!$B$9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<sst xmlns="http://schemas.openxmlformats.org/spreadsheetml/2006/main" count="1384" uniqueCount="693">
  <si>
    <t xml:space="preserve">KI wirtschaftlich einsetzen</t>
  </si>
  <si>
    <t xml:space="preserve">Rechenmodell zum Buch von Maximilian Rosen · Version 1.0 · Preisstand 23.10.2026 · alle Beträge netto</t>
  </si>
  <si>
    <t xml:space="preserve">In drei Schritten zur eigenen Rechnung</t>
  </si>
  <si>
    <t xml:space="preserve">1.  Öffnen Sie das Blatt „Mein Vorhaben“ (Link unten).</t>
  </si>
  <si>
    <t xml:space="preserve">2.  Ersetzen Sie die blau hinterlegten Beispielwerte durch Ihre eigenen Zahlen. Graue Felder rechnet die Tabelle selbst.</t>
  </si>
  <si>
    <t xml:space="preserve">3.  Lesen Sie Zeile „Einschätzung“ und die Hinweise. Rote Hinweise bedeuten: Eingaben prüfen.</t>
  </si>
  <si>
    <t xml:space="preserve">Was Sie dafür brauchen</t>
  </si>
  <si>
    <t xml:space="preserve">Anzahl der Vorgänge je Monat, gemessene Minuten je Vorgang heute, Arbeitskosten je Stunde (Lohnbuchhaltung), Angebot des Dienstleisters mit einmaligen und laufenden Kosten.</t>
  </si>
  <si>
    <t xml:space="preserve">Farben</t>
  </si>
  <si>
    <t xml:space="preserve">Blau hinterlegt = Eingabe · Grau = Ergebnis · Grün = wichtigstes Ergebnis · Gelb (Buchblätter) = einflussreiche Annahme</t>
  </si>
  <si>
    <t xml:space="preserve">Formeln sind gegen versehentliches Überschreiben geschützt. Schutz aufheben: Überprüfen › Blattschutz aufheben (kein Kennwort).</t>
  </si>
  <si>
    <t xml:space="preserve">Weitere Blätter</t>
  </si>
  <si>
    <t xml:space="preserve">Die übrigen Blätter enthalten alle Rechnungen des Buches (Kapitel 3 bis 11). Eine Übersicht steht im Blatt „Anleitung“.</t>
  </si>
  <si>
    <t xml:space="preserve">Wichtig</t>
  </si>
  <si>
    <t xml:space="preserve">Frei werdende Arbeitszeit ist nicht automatisch eingespartes Geld. Die Tabelle weist beides getrennt aus.</t>
  </si>
  <si>
    <t xml:space="preserve">Die Ergebnisse sind Modellrechnungen mit Ihren Annahmen. Messen Sie die Werte vor einer Entscheidung im Pilotprojekt (Kapitel 11). Keine Makros, keine Datenverbindungen.</t>
  </si>
  <si>
    <t xml:space="preserve">Mein Vorhaben: Rechnet sich die KI-Anwendung?</t>
  </si>
  <si>
    <t xml:space="preserve">Blau hinterlegte Felder sind Eingaben: tragen Sie Ihre eigenen Werte ein. Grau hinterlegte Felder rechnet die Tabelle selbst. Alle Beträge netto. Vorbelegt ist das Beispiel aus Kapitel 5 des Buches (mittleres Volumen); „Vorsichtig“ halbiert die Zeitersparnis wie die Empfindlichkeitsrechnung im Buch.</t>
  </si>
  <si>
    <t xml:space="preserve">Rechenweg und Begriffe: Kapitel 5 und Anhang A des Buches. Ergebnisse sind Modellrechnungen, keine Zusage.</t>
  </si>
  <si>
    <t xml:space="preserve">Eingabe</t>
  </si>
  <si>
    <t xml:space="preserve">Vorsichtig</t>
  </si>
  <si>
    <t xml:space="preserve">Erwartet</t>
  </si>
  <si>
    <t xml:space="preserve">Ihre Variante</t>
  </si>
  <si>
    <t xml:space="preserve">Einheit</t>
  </si>
  <si>
    <t xml:space="preserve">Erläuterung</t>
  </si>
  <si>
    <t xml:space="preserve">Vorgänge je Monat</t>
  </si>
  <si>
    <t xml:space="preserve">Anzahl</t>
  </si>
  <si>
    <t xml:space="preserve">Wie oft fällt der Vorgang im Monat an? Am besten zählen statt schätzen.</t>
  </si>
  <si>
    <t xml:space="preserve">Minuten je Vorgang heute (ohne KI)</t>
  </si>
  <si>
    <t xml:space="preserve">min</t>
  </si>
  <si>
    <t xml:space="preserve">Gemessene Bearbeitungszeit heute, gemittelt über einfache und schwierige Fälle.</t>
  </si>
  <si>
    <t xml:space="preserve">Minuten je Vorgang mit KI (Prüfen und Freigeben)</t>
  </si>
  <si>
    <t xml:space="preserve">Zeit, die ein Mensch mit KI noch braucht. Vorsichtig: halbe Zeitersparnis.</t>
  </si>
  <si>
    <t xml:space="preserve">Anteil der Vorgänge mit Nacharbeit</t>
  </si>
  <si>
    <t xml:space="preserve">%</t>
  </si>
  <si>
    <t xml:space="preserve">Wie oft muss das KI-Ergebnis korrigiert werden? Im Pilotprojekt messen.</t>
  </si>
  <si>
    <t xml:space="preserve">Minuten je Nacharbeit</t>
  </si>
  <si>
    <t xml:space="preserve">Zusätzliche Zeit, wenn korrigiert werden muss.</t>
  </si>
  <si>
    <t xml:space="preserve">Arbeitskosten je geleistete Stunde</t>
  </si>
  <si>
    <t xml:space="preserve">€/h</t>
  </si>
  <si>
    <t xml:space="preserve">Bruttolohn plus Arbeitgeberanteile, geteilt durch tatsächlich geleistete Stunden (Blatt Arbeitskosten).</t>
  </si>
  <si>
    <t xml:space="preserve">KI-Kosten je Vorgang</t>
  </si>
  <si>
    <t xml:space="preserve">€</t>
  </si>
  <si>
    <t xml:space="preserve">Vorbelegt aus dem Buchbeispiel (rund 1 Cent). Für eigene Werte: Blatt Vorgangsrechner oder Angebot des Dienstleisters.</t>
  </si>
  <si>
    <t xml:space="preserve">Feste Software- und Plattformkosten</t>
  </si>
  <si>
    <t xml:space="preserve">€/Monat</t>
  </si>
  <si>
    <t xml:space="preserve">Monatliche Gebühren, z. B. für einen Automatisierungsdienst.</t>
  </si>
  <si>
    <t xml:space="preserve">Wartung und Kontrolle</t>
  </si>
  <si>
    <t xml:space="preserve">h/Monat</t>
  </si>
  <si>
    <t xml:space="preserve">Stichproben, Anpassungen, Störungen.</t>
  </si>
  <si>
    <t xml:space="preserve">Neutest nach Modell- oder Anbieterwechsel</t>
  </si>
  <si>
    <t xml:space="preserve">h/Jahr</t>
  </si>
  <si>
    <t xml:space="preserve">KI-Modelle werden regelmäßig ersetzt; danach muss neu getestet werden.</t>
  </si>
  <si>
    <t xml:space="preserve">Einrichtung durch Dienstleister</t>
  </si>
  <si>
    <t xml:space="preserve">h</t>
  </si>
  <si>
    <t xml:space="preserve">Stunden laut Angebot. Richtet ein eigener Mitarbeiter ein: 0 und die Stunden unten bei den internen Stunden eintragen.</t>
  </si>
  <si>
    <t xml:space="preserve">Stundensatz Dienstleister</t>
  </si>
  <si>
    <t xml:space="preserve">Netto-Stundensatz laut Angebot.</t>
  </si>
  <si>
    <t xml:space="preserve">Datenschutz und Recht, einmalig</t>
  </si>
  <si>
    <t xml:space="preserve">Prüfung Auftragsverarbeitung, Verzeichnis, Information, gegebenenfalls Betriebsrat.</t>
  </si>
  <si>
    <t xml:space="preserve">IT-Sicherheit, einmalig</t>
  </si>
  <si>
    <t xml:space="preserve">Zugänge, Rechte, Protokollierung.</t>
  </si>
  <si>
    <t xml:space="preserve">Schulung</t>
  </si>
  <si>
    <t xml:space="preserve">h gesamt</t>
  </si>
  <si>
    <t xml:space="preserve">Summe der Schulungsstunden aller Beteiligten.</t>
  </si>
  <si>
    <t xml:space="preserve">Interne Stunden für Auswahl, Testfälle und Pilotprojekt</t>
  </si>
  <si>
    <t xml:space="preserve">Bei eigener Einrichtung zusätzlich deren Stunden.</t>
  </si>
  <si>
    <t xml:space="preserve">Anteil der frei werdenden Zeit, der tatsächlich Ausgaben vermeidet</t>
  </si>
  <si>
    <t xml:space="preserve">Nur wenn Überstunden, Aushilfen oder Neueinstellungen wegfallen, spart frei werdende Zeit Geld. 0 % = reiner Kapazitätsgewinn.</t>
  </si>
  <si>
    <t xml:space="preserve">Zusätzlicher Deckungsbeitrag je Monat (optional)</t>
  </si>
  <si>
    <t xml:space="preserve">Nur Deckungsbeitrag, nicht Umsatz: z. B. bisher vergessene Leistungen, die bezahlt werden, abzüglich Material. Im Zweifel 0.</t>
  </si>
  <si>
    <t xml:space="preserve">Betrachtungszeitraum</t>
  </si>
  <si>
    <t xml:space="preserve">Monate</t>
  </si>
  <si>
    <t xml:space="preserve">KI-Modelle und Preise ändern sich schnell; mehr als 36 Monate sind unsicher.</t>
  </si>
  <si>
    <t xml:space="preserve">Ergebnis</t>
  </si>
  <si>
    <t xml:space="preserve">Arbeitszeit heute</t>
  </si>
  <si>
    <t xml:space="preserve">Vorgänge × Minuten heute.</t>
  </si>
  <si>
    <t xml:space="preserve">Arbeitszeit mit KI inkl. Nacharbeit und Wartung</t>
  </si>
  <si>
    <t xml:space="preserve">Prüfen, Nacharbeit, Wartung und anteiliger Neutest.</t>
  </si>
  <si>
    <t xml:space="preserve">Frei werdende Arbeitszeit (Kapazitätsgewinn)</t>
  </si>
  <si>
    <t xml:space="preserve">Zeit, die für andere Aufgaben frei wird. Das ist noch kein Geld.</t>
  </si>
  <si>
    <t xml:space="preserve">Kapazitätsgewinn, mit Arbeitskosten bewertet</t>
  </si>
  <si>
    <t xml:space="preserve">Kalkulatorischer Wert der frei werdenden Zeit.</t>
  </si>
  <si>
    <t xml:space="preserve">Laufende Kosten (KI und Software)</t>
  </si>
  <si>
    <t xml:space="preserve">Zahlungswirksame Kosten je Monat.</t>
  </si>
  <si>
    <t xml:space="preserve">Nettoeffekt kalkulatorisch je Monat</t>
  </si>
  <si>
    <t xml:space="preserve">Bewertete Zeitersparnis minus laufende Kosten.</t>
  </si>
  <si>
    <t xml:space="preserve">Davon tatsächlich vermiedene Auszahlungen</t>
  </si>
  <si>
    <t xml:space="preserve">Nur der Anteil aus Zeile 22.</t>
  </si>
  <si>
    <t xml:space="preserve">Nettoeffekt zahlungswirksam je Monat</t>
  </si>
  <si>
    <t xml:space="preserve">Was am Monatsende tatsächlich auf dem Konto bleibt (inkl. Deckungsbeitrag aus Zeile 23).</t>
  </si>
  <si>
    <t xml:space="preserve">Einmalkosten mit Auszahlung</t>
  </si>
  <si>
    <t xml:space="preserve">Dienstleister, Datenschutz, IT-Sicherheit.</t>
  </si>
  <si>
    <t xml:space="preserve">Einmalkosten interne Stunden (bewertet)</t>
  </si>
  <si>
    <t xml:space="preserve">Schulung und interne Stunden, mit Arbeitskosten bewertet.</t>
  </si>
  <si>
    <t xml:space="preserve">Einmalkosten gesamt</t>
  </si>
  <si>
    <t xml:space="preserve">Amortisation kalkulatorisch</t>
  </si>
  <si>
    <t xml:space="preserve">Nach wie vielen Monaten die bewertete Ersparnis alle Einmalkosten deckt.</t>
  </si>
  <si>
    <t xml:space="preserve">Amortisation zahlungswirksam</t>
  </si>
  <si>
    <t xml:space="preserve">Nach wie vielen Monaten die tatsächlich gesparten Auszahlungen die Einmalauszahlungen decken.</t>
  </si>
  <si>
    <t xml:space="preserve">Ergebnis nach Betrachtungszeitraum, kalkulatorisch</t>
  </si>
  <si>
    <t xml:space="preserve">Ergebnis nach Betrachtungszeitraum, zahlungswirksam</t>
  </si>
  <si>
    <t xml:space="preserve">Nettoeffekt je zusätzlichem Vorgang</t>
  </si>
  <si>
    <t xml:space="preserve">Ist dieser Wert negativ, lohnt sich die Lösung bei keiner Menge.</t>
  </si>
  <si>
    <t xml:space="preserve">Mindestmenge, ab der sich der laufende Betrieb trägt</t>
  </si>
  <si>
    <t xml:space="preserve">Vorgänge</t>
  </si>
  <si>
    <t xml:space="preserve">Break-even ohne Einmalkosten.</t>
  </si>
  <si>
    <t xml:space="preserve">Einschätzung</t>
  </si>
  <si>
    <t xml:space="preserve">Hinweise zu den Eingaben</t>
  </si>
  <si>
    <t xml:space="preserve">Kalkulatorisch = frei werdende Arbeitszeit, mit Arbeitskosten bewertet. Zahlungswirksam = was tatsächlich an Ausgaben wegfällt. Eine Lösung kann kalkulatorisch lohnen und trotzdem kein Geld sparen, solange die frei werdende Zeit nicht anders genutzt wird. Umsatz zählt nie direkt, nur der Deckungsbeitrag (Zeile 23).</t>
  </si>
  <si>
    <t xml:space="preserve">Begleit-Rechenmodell: KI wirtschaftlich einsetzen</t>
  </si>
  <si>
    <t xml:space="preserve">Autor: Maximilian Rosen · Preisstand 23.10.2026 · Alle Preise netto, ohne Umsatzsteuer</t>
  </si>
  <si>
    <t xml:space="preserve">So benutzen Sie das Modell</t>
  </si>
  <si>
    <t xml:space="preserve">Blaue Zahlen sind Eingaben. Ändern Sie nur diese. Schwarze Zahlen sind Formeln. Grüne Zahlen holen Werte aus einem anderen Blatt.</t>
  </si>
  <si>
    <t xml:space="preserve">Gelb hinterlegte Zellen sind Schlüsselannahmen, die das Ergebnis stark beeinflussen. Prüfen Sie diese zuerst für Ihr Unternehmen.</t>
  </si>
  <si>
    <t xml:space="preserve">Blätter</t>
  </si>
  <si>
    <t xml:space="preserve">Parameter: Wechselkurs, Arbeitskosten, Abo-Preise und weitere Annahmen mit Quelle.</t>
  </si>
  <si>
    <t xml:space="preserve">Preise: API-Preise je Million Tokens. Neue Modelle oder Anbieter tragen Sie in die freien Zeilen ein.</t>
  </si>
  <si>
    <t xml:space="preserve">Vorgangsrechner: Kosten eines einzelnen KI-Aufrufs und pro Monat für Ihr eigenes Szenario.</t>
  </si>
  <si>
    <t xml:space="preserve">Rechenbeispiele: die acht durchgerechneten Beispiele aus Kapitel 3 (Tokenökonomie), nummeriert wie im Buch.</t>
  </si>
  <si>
    <t xml:space="preserve">Bezugsmodelle: Kapitel 4, Platz-Abo, API mit und ohne Cache, enthaltenes API-Guthaben, lokales Modell und Copilot.</t>
  </si>
  <si>
    <t xml:space="preserve">Arbeitskosten: Beispielrechnung der Arbeitskosten je geleistete Stunde aus Kapitel 5.</t>
  </si>
  <si>
    <t xml:space="preserve">Wirtschaftlichkeit: Gesamtrechnung aus Kapitel 5 mit drei Volumina, Amortisation, Break-even und Empfindlichkeit.</t>
  </si>
  <si>
    <t xml:space="preserve">Fall A: Praxisfall Montageberichte per Sprachnachricht (Kapitel 7) mit drei Betriebsgrößen.</t>
  </si>
  <si>
    <t xml:space="preserve">Fall B: Praxisfall Auftragsbestätigungen prüfen (Kapitel 8).</t>
  </si>
  <si>
    <t xml:space="preserve">Fall C: Praxisfall unvollständige Kundenanfragen (Kapitel 9).</t>
  </si>
  <si>
    <t xml:space="preserve">Sensitivität: Wie sich der monatliche Nettoeffekt mit Vorgangsvolumen und tatsächlicher Zeitersparnis ändert.</t>
  </si>
  <si>
    <t xml:space="preserve">Bewertungsmatrix: leeres Blatt, um eigene Kandidaten nach Kapitel 6 zu bewerten.</t>
  </si>
  <si>
    <t xml:space="preserve">Stichprobe: Wahrscheinlichkeit, Fehler in einer Stichprobe zu übersehen (Kapitel 11).</t>
  </si>
  <si>
    <t xml:space="preserve">Denk-Tokens: Bei den Modellen der Generation 5.5 ist adaptives Denken standardmäßig an und wird als Output abgerechnet. Die Fallrechnungen setzen 0 Denk-Tokens an (Denken abgeschaltet bzw. vorgelagertes Denken ausgeschaltet) und zeigen die Wirkung von Denk-Tokens laut Parameter als Empfindlichkeit.</t>
  </si>
  <si>
    <t xml:space="preserve">Wichtige Hinweise</t>
  </si>
  <si>
    <t xml:space="preserve">Preise sind eine Momentaufnahme und ändern sich häufig. Prüfen Sie vor jeder Entscheidung die offiziellen Preisseiten der Anbieter.</t>
  </si>
  <si>
    <t xml:space="preserve">Token-Zahlen pro Wort und Seite sind Faustwerte. Messen Sie mit dem Token-Zähler des Anbieters an Ihren eigenen Dokumenten.</t>
  </si>
  <si>
    <t xml:space="preserve">Alle Szenarien sind Modellrechnungen mit gekennzeichneten Annahmen, keine empirischen Einsparquoten.</t>
  </si>
  <si>
    <t xml:space="preserve">Kapazitätsgewinn (frei werdende Arbeitszeit) ist nicht automatisch eine Kostensenkung. Das Blatt Wirtschaftlichkeit rechnet beides getrennt.</t>
  </si>
  <si>
    <t xml:space="preserve">Richtet ein eigener Mitarbeiter ein: Einrichtungsstunden des Dienstleisters auf 0 setzen und die eigenen Stunden bei den internen Stunden eintragen (Kapitel 11).</t>
  </si>
  <si>
    <t xml:space="preserve">Kurzzeichen in Spalte F entsprechen weitgehend Anhang A des Buches; BE entspricht V_BE, Extern_Stundensatz entspricht S_extern, KV1 den Kosten eines korrekt erledigten Vorgangs.</t>
  </si>
  <si>
    <t xml:space="preserve">Parameter und Annahmen</t>
  </si>
  <si>
    <t xml:space="preserve">Parameter</t>
  </si>
  <si>
    <t xml:space="preserve">Wert</t>
  </si>
  <si>
    <t xml:space="preserve">Quelle / Art</t>
  </si>
  <si>
    <t xml:space="preserve">Wechselkurs: US-Dollar je Euro</t>
  </si>
  <si>
    <t xml:space="preserve">USD je 1 EUR</t>
  </si>
  <si>
    <t xml:space="preserve">Annahme, gerundet. EZB-Referenzkurs am 15.09.2026: 1,1539 USD. Vor Nutzung aktualisieren.</t>
  </si>
  <si>
    <t xml:space="preserve">Preisfaktor Batch-Verarbeitung</t>
  </si>
  <si>
    <t xml:space="preserve">Faktor</t>
  </si>
  <si>
    <t xml:space="preserve">Anthropic: 50 % Rabatt auf Input und Output, gilt auch für Cache-Preise (https://platform.claude.com/docs/en/about-claude/pricing, abgerufen 23.10.2026)</t>
  </si>
  <si>
    <t xml:space="preserve">EUR/h</t>
  </si>
  <si>
    <t xml:space="preserve">Destatis, Pressemitteilung Nr. 148 vom 29.04.2026: Arbeitskosten 2025 je geleistete Stunde 45,00 EUR im Produzierenden Gewerbe und Dienstleistungsbereich (WZ-Abschnitte B bis S ohne O). https://www.destatis.de/DE/Presse/Pressemitteilungen/2026/04/PD26_148_624.html. Für kleine Betriebe oft niedriger, siehe Blatt Arbeitskosten.</t>
  </si>
  <si>
    <t xml:space="preserve">Arbeitstage je Monat</t>
  </si>
  <si>
    <t xml:space="preserve">Tage</t>
  </si>
  <si>
    <t xml:space="preserve">Annahme</t>
  </si>
  <si>
    <t xml:space="preserve">Tokens je deutschem Wort</t>
  </si>
  <si>
    <t xml:space="preserve">Tokens</t>
  </si>
  <si>
    <t xml:space="preserve">Annahme (Faustwert) für Modelle mit neuerem Tokenizer (Claude ab 4.7). Ältere Tokenizer: rund 1,6 / 1,3 = 1,23. Mit Token-Zähler des Anbieters an eigenen Texten messen.</t>
  </si>
  <si>
    <t xml:space="preserve">Wörter je Seite Fließtext</t>
  </si>
  <si>
    <t xml:space="preserve">Wörter</t>
  </si>
  <si>
    <t xml:space="preserve">Rechenbeispiel 5: Tokens je Frage</t>
  </si>
  <si>
    <t xml:space="preserve">Tokenizer: Mehr-Tokens der Modelle ab 4.7 gegenüber älteren</t>
  </si>
  <si>
    <t xml:space="preserve">Anthropic: Modelle ab Version 4.7 erzeugen für denselben Text rund 30 % mehr Tokens (Preisseite, abgerufen 23.10.2026)</t>
  </si>
  <si>
    <t xml:space="preserve">Rechenbeispiel 8: Anteil komplexer Anfragen beim Routing</t>
  </si>
  <si>
    <t xml:space="preserve">Transkription: Preis je Audiominute</t>
  </si>
  <si>
    <t xml:space="preserve">USD/min</t>
  </si>
  <si>
    <t xml:space="preserve">Annahme. Die OpenAI-Modellseite nennt für gpt-4o-transcribe Preise je Million Audio-Tokens (2,50 USD Input), keinen Minutenpreis. 0,006 USD/min ist ein in Sekundärquellen genannter Richtwert; vor Nutzung am eigenen Audio messen.</t>
  </si>
  <si>
    <t xml:space="preserve">ChatGPT Business, Standard-Platz, jährliche Zahlung</t>
  </si>
  <si>
    <t xml:space="preserve">USD/Platz/Monat</t>
  </si>
  <si>
    <t xml:space="preserve">OpenAI Help Center, ChatGPT Business (help.openai.com/en/articles/8792828), abgerufen im Oktober 2026; monatliche Zahlung 25 USD; Premium-Platz 100/125 USD; ab zwei Plätzen; API-Nutzung nicht enthalten</t>
  </si>
  <si>
    <t xml:space="preserve">Claude Team, Standard-Platz, jährliche Zahlung</t>
  </si>
  <si>
    <t xml:space="preserve">https://claude.com/pricing (abgerufen 23.10.2026); monatliche Zahlung 25 USD; Premium-Platz 100/125 USD</t>
  </si>
  <si>
    <t xml:space="preserve">Claude Team: enthaltenes API-Guthaben je Standard-Platz</t>
  </si>
  <si>
    <t xml:space="preserve">https://platform.claude.com/docs/en/about-claude/api-credits-for-subscribers (abgerufen 23.10.2026); Pool höchstens 500 USD je Monat, verfällt monatlich</t>
  </si>
  <si>
    <t xml:space="preserve">Claude Team: Obergrenze API-Guthaben je Organisation</t>
  </si>
  <si>
    <t xml:space="preserve">USD/Monat</t>
  </si>
  <si>
    <t xml:space="preserve">wie oben</t>
  </si>
  <si>
    <t xml:space="preserve">Microsoft 365 Copilot Business, Jahresabo, Listenpreis</t>
  </si>
  <si>
    <t xml:space="preserve">EUR/Nutzer/Monat</t>
  </si>
  <si>
    <t xml:space="preserve">https://www.microsoft.com/de-de/microsoft-365-copilot/pricing (abgerufen 23.10.2026); Aktion 15,60 EUR im ersten Jahr (1.7.–31.12.2026); monatlich 21,84 EUR; bis 300 Nutzer; Microsoft-365-Lizenz zusätzlich nötig</t>
  </si>
  <si>
    <t xml:space="preserve">Claude Team, Premium-Platz, jährliche Zahlung</t>
  </si>
  <si>
    <t xml:space="preserve">https://claude.com/pricing (abgerufen 23.10.2026); enthält 100 USD API-Guthaben</t>
  </si>
  <si>
    <t xml:space="preserve">Szenario: Denk-Tokens je Aufruf, wenn das Denken nicht reduziert wird</t>
  </si>
  <si>
    <t xml:space="preserve">Annahme für die Empfindlichkeit. Bei den Modellen der Generation 5.5 ist adaptives Denken standardmäßig an und wird als Output abgerechnet; die Menge hängt von Aufgabe und Effort-Einstellung ab.</t>
  </si>
  <si>
    <t xml:space="preserve">Strompreis netto</t>
  </si>
  <si>
    <t xml:space="preserve">EUR/kWh</t>
  </si>
  <si>
    <t xml:space="preserve">Annahme; eigenen Tarif einsetzen</t>
  </si>
  <si>
    <t xml:space="preserve">Stundensatz externer Dienstleister (netto)</t>
  </si>
  <si>
    <t xml:space="preserve">Annahme für Einrichtung durch einen Dienstleister; regional sehr unterschiedlich</t>
  </si>
  <si>
    <t xml:space="preserve">Annahme; KI-Modelle und Preise ändern sich schnell, längere Zeiträume sind unsicher</t>
  </si>
  <si>
    <t xml:space="preserve">Szenario: Faktor auf KI-Preise</t>
  </si>
  <si>
    <t xml:space="preserve">Annahme für Preissteigerung</t>
  </si>
  <si>
    <t xml:space="preserve">Szenario: Wechselkurs</t>
  </si>
  <si>
    <t xml:space="preserve">Annahme für schwächeren Euro</t>
  </si>
  <si>
    <t xml:space="preserve">Umsatzsteuer-Regelsatz (nur zur Information)</t>
  </si>
  <si>
    <t xml:space="preserve">§ 12 Abs. 1 UStG. Das Modell rechnet netto, weil vorsteuerabzugsberechtigte Unternehmen die Umsatzsteuer nicht als Kosten tragen.</t>
  </si>
  <si>
    <t xml:space="preserve">API-Preise je 1 Million Tokens (USD, netto)</t>
  </si>
  <si>
    <t xml:space="preserve">Quellen: Anthropic https://platform.claude.com/docs/en/about-claude/pricing und OpenAI-Modellseiten (siehe Hinweis), abgerufen am 23.10.2026. Momentaufnahme. Tokenizer der Anbieter unterscheiden sich; Kosten je Vorgang an eigenen Dokumenten vergleichen.</t>
  </si>
  <si>
    <t xml:space="preserve">Modell</t>
  </si>
  <si>
    <t xml:space="preserve">Input</t>
  </si>
  <si>
    <t xml:space="preserve">Output</t>
  </si>
  <si>
    <t xml:space="preserve">Cache schreiben 5 min</t>
  </si>
  <si>
    <t xml:space="preserve">Cache schreiben 1 h</t>
  </si>
  <si>
    <t xml:space="preserve">Cache-Treffer</t>
  </si>
  <si>
    <t xml:space="preserve">Tokenizer</t>
  </si>
  <si>
    <t xml:space="preserve">Hinweis</t>
  </si>
  <si>
    <t xml:space="preserve">Claude Haiku 5.5</t>
  </si>
  <si>
    <t xml:space="preserve">neu</t>
  </si>
  <si>
    <t xml:space="preserve">nur für Prompts bis 100.000 Tokens</t>
  </si>
  <si>
    <t xml:space="preserve">Claude Haiku 5.5 &gt;100k</t>
  </si>
  <si>
    <t xml:space="preserve">Prompt über 100.000 Tokens: gesamter Aufruf zum höheren Preis, auch Cache-Anteile</t>
  </si>
  <si>
    <t xml:space="preserve">Claude Sonnet 5.5</t>
  </si>
  <si>
    <t xml:space="preserve">Claude Opus 5.5</t>
  </si>
  <si>
    <t xml:space="preserve">Claude Fable 5.1</t>
  </si>
  <si>
    <t xml:space="preserve">Spitzenmodell; Cache-Lesen ein Vierzigstel des Input-Preises</t>
  </si>
  <si>
    <t xml:space="preserve">Claude Sonnet 4.6</t>
  </si>
  <si>
    <t xml:space="preserve">alt</t>
  </si>
  <si>
    <t xml:space="preserve">älterer Tokenizer: Modelle ab Version 4.7 erzeugen für denselben Text rund 30 % mehr Tokens; umgekehrt ergibt der ältere Tokenizer rund 23 % weniger (Faktor 1/1,3)</t>
  </si>
  <si>
    <t xml:space="preserve">Claude Haiku 4.5</t>
  </si>
  <si>
    <t xml:space="preserve">älterer Tokenizer</t>
  </si>
  <si>
    <t xml:space="preserve">GPT-6 Luna</t>
  </si>
  <si>
    <t xml:space="preserve">?</t>
  </si>
  <si>
    <t xml:space="preserve">OpenAI, https://developers.openai.com/api/docs/models/gpt-6-luna (abgerufen 23.10.2026); Cache-Schreiben ohne dokumentierte 1-h-Stufe; Prompt über 272.000 Tokens: Input und Cache 2-fach, Output 1,5-fach</t>
  </si>
  <si>
    <t xml:space="preserve">GPT-6 Luna &gt;272k</t>
  </si>
  <si>
    <t xml:space="preserve">Preisstufe für Prompts über 272.000 Tokens, gilt für den ganzen Aufruf</t>
  </si>
  <si>
    <t xml:space="preserve">GPT-6.1 Sol</t>
  </si>
  <si>
    <t xml:space="preserve">OpenAI, https://developers.openai.com/api/docs/models/gpt-6.1-sol (abgerufen 23.10.2026); Batch und Flex 50 % günstiger; regionale Verarbeitung +10 %</t>
  </si>
  <si>
    <t xml:space="preserve">GPT-6.1 Sol &gt;272k</t>
  </si>
  <si>
    <t xml:space="preserve">Preisstufe für Prompts über 272.000 Tokens</t>
  </si>
  <si>
    <t xml:space="preserve">Eigenes Modell 1</t>
  </si>
  <si>
    <t xml:space="preserve">freie Zeile für weitere Anbieter</t>
  </si>
  <si>
    <t xml:space="preserve">Eigenes Modell 2</t>
  </si>
  <si>
    <t xml:space="preserve">Vorgangsrechner: Was kostet ein KI-Aufruf?</t>
  </si>
  <si>
    <t xml:space="preserve">Tragen Sie die Werte eines typischen Aufrufs ein. Token-Zahlen erhalten Sie aus der Nutzungsanzeige des Anbieters oder per Token-Zähler.</t>
  </si>
  <si>
    <t xml:space="preserve">Auswahl aus Blatt Preise</t>
  </si>
  <si>
    <t xml:space="preserve">Input-Tokens zum normalen Preis</t>
  </si>
  <si>
    <t xml:space="preserve">Anweisungen, Dokumente, Frage, soweit nicht aus dem Cache</t>
  </si>
  <si>
    <t xml:space="preserve">zusätzlich: in Cache geschrieben (5 min)</t>
  </si>
  <si>
    <t xml:space="preserve">nicht in der Zeile darüber enthalten; 1,25-facher Input-Preis</t>
  </si>
  <si>
    <t xml:space="preserve">zusätzlich: in Cache geschrieben (1 h)</t>
  </si>
  <si>
    <t xml:space="preserve">nicht in den Zeilen darüber enthalten; 2-facher Input-Preis</t>
  </si>
  <si>
    <t xml:space="preserve">zusätzlich: aus dem Cache gelesen</t>
  </si>
  <si>
    <t xml:space="preserve">nicht in den Zeilen darüber enthalten; Bruchteil des Input-Preises</t>
  </si>
  <si>
    <t xml:space="preserve">Output-Tokens</t>
  </si>
  <si>
    <t xml:space="preserve">Länge der Antwort; Output ist der teuerste Posten</t>
  </si>
  <si>
    <t xml:space="preserve">Aufrufe je Monat</t>
  </si>
  <si>
    <t xml:space="preserve">Batch-Verarbeitung</t>
  </si>
  <si>
    <t xml:space="preserve">Nein</t>
  </si>
  <si>
    <t xml:space="preserve">Ja = asynchron, Ergebnis später, halber Preis</t>
  </si>
  <si>
    <t xml:space="preserve">Abgerechnete Preisstufe (automatisch)</t>
  </si>
  <si>
    <t xml:space="preserve">Kosten je Aufruf (USD)</t>
  </si>
  <si>
    <t xml:space="preserve">Kosten je Aufruf (EUR)</t>
  </si>
  <si>
    <t xml:space="preserve">Kosten je Monat (EUR)</t>
  </si>
  <si>
    <t xml:space="preserve">Anteil Output an den Kosten</t>
  </si>
  <si>
    <t xml:space="preserve">zusätzlich: Denk-Tokens je Aufruf</t>
  </si>
  <si>
    <t xml:space="preserve">als Output abgerechnet; bei Generation 5.5 standardmäßig an. 0 = Denken abgeschaltet oder vernachlässigbar (Haiku 5.5: disabled; Sonnet 5.5: between_tools ohne Werkzeuge)</t>
  </si>
  <si>
    <t xml:space="preserve">Rechenbeispiele aus Kapitel 3: Tokenökonomie</t>
  </si>
  <si>
    <t xml:space="preserve">Preise: Blatt Preise (Stand 23.10.2026). Token-Mengen sind Annahmen für typische Aufgaben, keine Messwerte. Summenzeilen sind grau.</t>
  </si>
  <si>
    <t xml:space="preserve">Beispiel</t>
  </si>
  <si>
    <t xml:space="preserve">Variante</t>
  </si>
  <si>
    <t xml:space="preserve">Input ohne Cache</t>
  </si>
  <si>
    <t xml:space="preserve">Batch</t>
  </si>
  <si>
    <t xml:space="preserve">Kosten je Monat (USD)</t>
  </si>
  <si>
    <t xml:space="preserve">1</t>
  </si>
  <si>
    <t xml:space="preserve">Ein einzelner Aufruf</t>
  </si>
  <si>
    <t xml:space="preserve">Kurze Anfrage mit kurzer Antwort: kaum messbare Kosten.</t>
  </si>
  <si>
    <t xml:space="preserve">50 Aufrufe je Arbeitstag</t>
  </si>
  <si>
    <t xml:space="preserve">Derselbe Prompt in einem kleinen Team.</t>
  </si>
  <si>
    <t xml:space="preserve">2.000 Aufrufe je Arbeitstag</t>
  </si>
  <si>
    <t xml:space="preserve">Derselbe Prompt in einer automatisierten Verarbeitung.</t>
  </si>
  <si>
    <t xml:space="preserve">2</t>
  </si>
  <si>
    <t xml:space="preserve">Kurze Antwort (300 Tokens)</t>
  </si>
  <si>
    <t xml:space="preserve">Gleiche Aufgabe, Antwort auf das Nötige begrenzt.</t>
  </si>
  <si>
    <t xml:space="preserve">Ausführliche Antwort (1.500 Tokens)</t>
  </si>
  <si>
    <t xml:space="preserve">Output kostet je Token das Fünffache des Inputs.</t>
  </si>
  <si>
    <t xml:space="preserve">3</t>
  </si>
  <si>
    <t xml:space="preserve">Prompt 99.000 Tokens</t>
  </si>
  <si>
    <t xml:space="preserve">Knapp unter der Preisschwelle.</t>
  </si>
  <si>
    <t xml:space="preserve">Prompt 101.000 Tokens</t>
  </si>
  <si>
    <t xml:space="preserve">2 % mehr Input, gesamter Aufruf zum fünffachen Preis.</t>
  </si>
  <si>
    <t xml:space="preserve">4</t>
  </si>
  <si>
    <t xml:space="preserve">Vorgänger, älterer Tokenizer</t>
  </si>
  <si>
    <t xml:space="preserve">10.000 Wörter Input; der ältere Tokenizer erzeugt 1/1,3 der Tokens des neueren, also rund 23 % weniger.</t>
  </si>
  <si>
    <t xml:space="preserve">Nachfolger, neuerer Tokenizer (+30 %)</t>
  </si>
  <si>
    <t xml:space="preserve">Gleicher Text, laut Anbieter rund 30 % mehr Tokens. Listenpreis −33 %, tatsächliche Kosten nur rund −13 %.</t>
  </si>
  <si>
    <t xml:space="preserve">5</t>
  </si>
  <si>
    <t xml:space="preserve">Handbuch bei jeder Frage, ohne Cache</t>
  </si>
  <si>
    <t xml:space="preserve">80 Seiten Handbuch plus Frage, 20 Fragen je Tag, Abstand rund 24 Minuten.</t>
  </si>
  <si>
    <t xml:space="preserve">5-min-Cache bei 24 min Abstand</t>
  </si>
  <si>
    <t xml:space="preserve">Cache läuft zwischen zwei Fragen ab: jeder Aufruf schreibt neu und zahlt 25 % Aufschlag.</t>
  </si>
  <si>
    <t xml:space="preserve">1-h-Cache: erster Aufruf am Tag</t>
  </si>
  <si>
    <t xml:space="preserve">Einmal täglich schreiben (2-facher Input-Preis).</t>
  </si>
  <si>
    <t xml:space="preserve">1-h-Cache: Folgeaufrufe</t>
  </si>
  <si>
    <t xml:space="preserve">Treffer verlängern den Cache; Annahme: keine Pause über 60 Minuten.</t>
  </si>
  <si>
    <t xml:space="preserve">Summe 1-h-Cache</t>
  </si>
  <si>
    <t xml:space="preserve">Variante mit 1-h-Cache gesamt.</t>
  </si>
  <si>
    <t xml:space="preserve">Nur passende Abschnitte (RAG)</t>
  </si>
  <si>
    <t xml:space="preserve">Suche liefert rund 4.000 Tokens passender Textstellen; Kosten für Suche und Index nicht enthalten.</t>
  </si>
  <si>
    <t xml:space="preserve">6</t>
  </si>
  <si>
    <t xml:space="preserve">Sofortverarbeitung, kleines Modell</t>
  </si>
  <si>
    <t xml:space="preserve">Datenauszug aus 2.000 Dokumenten je Monat.</t>
  </si>
  <si>
    <t xml:space="preserve">Batch, kleines Modell</t>
  </si>
  <si>
    <t xml:space="preserve">Ja</t>
  </si>
  <si>
    <t xml:space="preserve">Halber Preis; absolute Ersparnis sehr klein.</t>
  </si>
  <si>
    <t xml:space="preserve">Sofortverarbeitung, mittleres Modell</t>
  </si>
  <si>
    <t xml:space="preserve">Batch, mittleres Modell</t>
  </si>
  <si>
    <t xml:space="preserve">7</t>
  </si>
  <si>
    <t xml:space="preserve">Tabelle komplett im Prompt</t>
  </si>
  <si>
    <t xml:space="preserve">20.000 Zeilen mit je rund 25 Tokens; Rechnen im Modell ist zudem fehleranfällig.</t>
  </si>
  <si>
    <t xml:space="preserve">Nur Spalten und Stichprobe, Modell schreibt Code</t>
  </si>
  <si>
    <t xml:space="preserve">Berechnung läuft in Python oder SQL außerhalb des Modells.</t>
  </si>
  <si>
    <t xml:space="preserve">8</t>
  </si>
  <si>
    <t xml:space="preserve">Alles mit mittlerem Modell</t>
  </si>
  <si>
    <t xml:space="preserve">Kundenanfragen einordnen und Antwort entwerfen.</t>
  </si>
  <si>
    <t xml:space="preserve">Alles mit großem Modell</t>
  </si>
  <si>
    <t xml:space="preserve">Routing: Einordnung kleines Modell</t>
  </si>
  <si>
    <t xml:space="preserve">Jede Anfrage wird zuerst eingeordnet.</t>
  </si>
  <si>
    <t xml:space="preserve">Routing: 30 % komplexe Fälle</t>
  </si>
  <si>
    <t xml:space="preserve">Routing: 70 % einfache Fälle</t>
  </si>
  <si>
    <t xml:space="preserve">Summe Routing</t>
  </si>
  <si>
    <t xml:space="preserve">Tokenkosten der Routing-Variante. Nacharbeit siehe Block unten.</t>
  </si>
  <si>
    <t xml:space="preserve">Beispiel 8, Gesamtsystem: Was kostet Nacharbeit?</t>
  </si>
  <si>
    <t xml:space="preserve">Fälle mit kleinem Modell je Monat</t>
  </si>
  <si>
    <t xml:space="preserve">Zusätzliche Nacharbeitsquote gegenüber mittlerem Modell</t>
  </si>
  <si>
    <t xml:space="preserve">Minuten Nacharbeit je betroffenem Fall</t>
  </si>
  <si>
    <t xml:space="preserve">Kosten Nacharbeit je Monat (EUR)</t>
  </si>
  <si>
    <t xml:space="preserve">Tokenersparnis Routing gegenüber mittlerem Modell (EUR)</t>
  </si>
  <si>
    <t xml:space="preserve">Netto-Effekt des Routings (EUR je Monat)</t>
  </si>
  <si>
    <t xml:space="preserve">Negativ = Routing spart Tokens, kostet aber mehr Arbeitszeit, als es spart.</t>
  </si>
  <si>
    <t xml:space="preserve">Kennzahlen aus dem Text (Kapitel 3)</t>
  </si>
  <si>
    <t xml:space="preserve">RB 1: Anteil Output an den Kosten</t>
  </si>
  <si>
    <t xml:space="preserve">RB 2: Faktor ausführlich / kurz</t>
  </si>
  <si>
    <t xml:space="preserve">RB 2: Anteil Output, kurze Antwort</t>
  </si>
  <si>
    <t xml:space="preserve">RB 2: Anteil Output, ausführliche Antwort</t>
  </si>
  <si>
    <t xml:space="preserve">RB 3: Mehr-Input</t>
  </si>
  <si>
    <t xml:space="preserve">RB 3: Mehrkosten</t>
  </si>
  <si>
    <t xml:space="preserve">RB 4: Senkung Listenpreis Input</t>
  </si>
  <si>
    <t xml:space="preserve">RB 4: tatsächliche Kostensenkung</t>
  </si>
  <si>
    <t xml:space="preserve">RB 5: Einsparung 1-h-Cache gegenüber ohne Cache</t>
  </si>
  <si>
    <t xml:space="preserve">RB 6: Ersparnis Batch, kleines Modell (EUR/Monat)</t>
  </si>
  <si>
    <t xml:space="preserve">RB 6: Ersparnis Batch, mittleres Modell (EUR/Monat)</t>
  </si>
  <si>
    <t xml:space="preserve">RB 7: Faktor Tabelle im Prompt / Code</t>
  </si>
  <si>
    <t xml:space="preserve">RB 8: Nacharbeit, bei der Routing sich gerade trägt (Minuten/Monat)</t>
  </si>
  <si>
    <t xml:space="preserve">RB 8: dasselbe je einfachem Fall (Sekunden)</t>
  </si>
  <si>
    <t xml:space="preserve">RB 1 automatisiert mit Denk-Tokens laut Parameter (USD/Monat)</t>
  </si>
  <si>
    <t xml:space="preserve">RB 8 alles mit Opus mit Denk-Tokens laut Parameter (USD/Monat)</t>
  </si>
  <si>
    <t xml:space="preserve">RB 5: Kosten eines zusätzlichen 1-h-Schreibvorgangs statt Treffer (USD)</t>
  </si>
  <si>
    <t xml:space="preserve">RB 5: Mehrkosten bei einem zusätzlichen Schreibvorgang je Arbeitstag (USD/Monat)</t>
  </si>
  <si>
    <t xml:space="preserve">Kapitel 4: Platz-Abo, API oder lokales Modell?</t>
  </si>
  <si>
    <t xml:space="preserve">Vergleich nur für dieselbe Aufgabe: interaktive Arbeit einer Person mit einem Chat. Ein Platz-Abo enthält Oberfläche und Verwaltung; die API-Variante braucht eine eigene Oberfläche, deren Betreuung unten getrennt bewertet wird. Nutzungsgrenzen der Abos sind nicht in Tokens beziffert. Cache-Anteil: Anteil des Inputs, der aus dem Zwischenspeicher gelesen wird (wiederholter Gesprächsverlauf, gleiche Dokumente); der Rest wird neu in den Cache geschrieben (5 min).</t>
  </si>
  <si>
    <t xml:space="preserve">Nutzungsprofil</t>
  </si>
  <si>
    <t xml:space="preserve">Anfragen je Arbeitstag</t>
  </si>
  <si>
    <t xml:space="preserve">Input je Anfrage (Tokens)</t>
  </si>
  <si>
    <t xml:space="preserve">Output je Anfrage (Tokens)</t>
  </si>
  <si>
    <t xml:space="preserve">Cache-Anteil Input</t>
  </si>
  <si>
    <t xml:space="preserve">API ohne Cache (USD/Monat)</t>
  </si>
  <si>
    <t xml:space="preserve">API mit Cache (USD/Monat)</t>
  </si>
  <si>
    <t xml:space="preserve">API mit Cache (EUR/Monat)</t>
  </si>
  <si>
    <t xml:space="preserve">Platzpreis jährl. (USD)</t>
  </si>
  <si>
    <t xml:space="preserve">Platz günstiger ab … Anfragen je Tag (mit Cache)</t>
  </si>
  <si>
    <t xml:space="preserve">Platz günstiger ab … (ohne Cache)</t>
  </si>
  <si>
    <t xml:space="preserve">Bemerkung</t>
  </si>
  <si>
    <t xml:space="preserve">API, halber Cache-Anteil (USD/Monat)</t>
  </si>
  <si>
    <t xml:space="preserve">API mit Cache und Denk-Tokens laut Parameter (USD/Monat)</t>
  </si>
  <si>
    <t xml:space="preserve">P1 gelegentlich</t>
  </si>
  <si>
    <t xml:space="preserve">einzelne kurze Fragen, kaum Wiederholung</t>
  </si>
  <si>
    <t xml:space="preserve">P2 regelmäßig</t>
  </si>
  <si>
    <t xml:space="preserve">tägliche Arbeit mit kurzen Dokumenten</t>
  </si>
  <si>
    <t xml:space="preserve">P3 intensiv mit Dokumenten</t>
  </si>
  <si>
    <t xml:space="preserve">Analysen, lange Gesprächsverläufe</t>
  </si>
  <si>
    <t xml:space="preserve">P4 Dauernutzung, lange Dokumente</t>
  </si>
  <si>
    <t xml:space="preserve">dauerhaft mehrere Dokumente im Kontext; Standard-Platz reicht evtl. nicht</t>
  </si>
  <si>
    <t xml:space="preserve">Team mit gemischter Nutzung</t>
  </si>
  <si>
    <t xml:space="preserve">Profil</t>
  </si>
  <si>
    <t xml:space="preserve">Personen</t>
  </si>
  <si>
    <t xml:space="preserve">API ohne Cache (USD)</t>
  </si>
  <si>
    <t xml:space="preserve">API mit Cache (USD)</t>
  </si>
  <si>
    <t xml:space="preserve">API halber Cache-Anteil (USD)</t>
  </si>
  <si>
    <t xml:space="preserve">API mit Cache und Denk-Tokens (USD)</t>
  </si>
  <si>
    <t xml:space="preserve">Personen gesamt</t>
  </si>
  <si>
    <t xml:space="preserve">API-Kosten Chat ohne Cache (USD)</t>
  </si>
  <si>
    <t xml:space="preserve">API-Kosten Chat mit Cache (USD)</t>
  </si>
  <si>
    <t xml:space="preserve">API-Kosten Chat, halber Cache-Anteil (USD)</t>
  </si>
  <si>
    <t xml:space="preserve">API-Kosten Chat mit Cache und Denk-Tokens (USD)</t>
  </si>
  <si>
    <t xml:space="preserve">Zusätzlicher API-Bedarf für Automatisierung (USD)</t>
  </si>
  <si>
    <t xml:space="preserve">Annahme, z. B. mehrere Anwendungen aus Kapitel 3</t>
  </si>
  <si>
    <t xml:space="preserve">Betreuung einer eigenen Chat-Oberfläche (h/Monat)</t>
  </si>
  <si>
    <t xml:space="preserve">Annahme: Updates, Benutzerverwaltung, Fragen; Einrichtung nicht enthalten</t>
  </si>
  <si>
    <t xml:space="preserve">Platz-Abo für alle (USD)</t>
  </si>
  <si>
    <t xml:space="preserve">Im Claude-Team-Abo enthaltenes API-Guthaben (USD)</t>
  </si>
  <si>
    <t xml:space="preserve">Nur API ohne Zwischenspeicher, eigene Oberfläche (EUR)</t>
  </si>
  <si>
    <t xml:space="preserve">Nur API mit Zwischenspeicher, eigene Oberfläche (EUR)</t>
  </si>
  <si>
    <t xml:space="preserve">dasselbe ohne Betreuungskosten der Oberfläche (EUR)</t>
  </si>
  <si>
    <t xml:space="preserve">Nur API, halber Cache-Anteil, eigene Oberfläche (EUR)</t>
  </si>
  <si>
    <t xml:space="preserve">Nur API mit Zwischenspeicher und Denk-Tokens, eigene Oberfläche (EUR)</t>
  </si>
  <si>
    <t xml:space="preserve">Team-Plätze, Automatisierung aus enthaltenem Guthaben (EUR)</t>
  </si>
  <si>
    <t xml:space="preserve">Team-Plätze mit Premium-Platz für den Dauernutzer (EUR)</t>
  </si>
  <si>
    <t xml:space="preserve">Premium-Platz laut Parameter, enthält Guthaben in Höhe des Platzpreises</t>
  </si>
  <si>
    <t xml:space="preserve">Plätze ohne enthaltenes Guthaben, Automatisierung per API (EUR)</t>
  </si>
  <si>
    <t xml:space="preserve">Zahl der Gelegenheitsnutzer im Vergleich</t>
  </si>
  <si>
    <t xml:space="preserve">Ersparnis dieser Gelegenheitsnutzer (P1) über die API statt Plätze (EUR)</t>
  </si>
  <si>
    <t xml:space="preserve">Vergleich mit zwei Stunden Betreuung der eigenen Oberfläche</t>
  </si>
  <si>
    <t xml:space="preserve">Größeres Team: Verteilung auf die Profile (Annahme)</t>
  </si>
  <si>
    <t xml:space="preserve">Personen im Profil P1</t>
  </si>
  <si>
    <t xml:space="preserve">Personen im Profil P2</t>
  </si>
  <si>
    <t xml:space="preserve">Personen im Profil P3</t>
  </si>
  <si>
    <t xml:space="preserve">Personen im Profil P4</t>
  </si>
  <si>
    <t xml:space="preserve">Personen gesamt, größeres Team</t>
  </si>
  <si>
    <t xml:space="preserve">API-Kosten Chat mit Cache, größeres Team (USD)</t>
  </si>
  <si>
    <t xml:space="preserve">Größeres Team: nur API mit Zwischenspeicher, eigene Oberfläche (EUR)</t>
  </si>
  <si>
    <t xml:space="preserve">Größeres Team: Team-Plätze, Automatisierung aus enthaltenem Guthaben (EUR)</t>
  </si>
  <si>
    <t xml:space="preserve">Größeres Team: Mischmodell, Plätze nur für P3 und P4, übrige über vorhandene Software (EUR)</t>
  </si>
  <si>
    <t xml:space="preserve">ohne Kosten der vorhandenen Software, etwa eines Microsoft-365-Plans mit Copilot Chat</t>
  </si>
  <si>
    <t xml:space="preserve">Lokales Open-Weight-Modell: monatliche Vollkosten</t>
  </si>
  <si>
    <t xml:space="preserve">Anschaffung Hardware (EUR)</t>
  </si>
  <si>
    <t xml:space="preserve">Größenordnung laut einer Marktübersicht (Sekundärquelle), nicht unabhängig geprüft</t>
  </si>
  <si>
    <t xml:space="preserve">Nutzungsdauer (Monate)</t>
  </si>
  <si>
    <t xml:space="preserve">Durchschnittliche Leistungsaufnahme (kW)</t>
  </si>
  <si>
    <t xml:space="preserve">Betriebsstunden je Arbeitstag</t>
  </si>
  <si>
    <t xml:space="preserve">Betreuung je Monat (h)</t>
  </si>
  <si>
    <t xml:space="preserve">Annahme: Updates, Störungen, Modellwechsel, Sicherheit</t>
  </si>
  <si>
    <t xml:space="preserve">Abschreibung je Monat (EUR)</t>
  </si>
  <si>
    <t xml:space="preserve">Strom je Monat (EUR)</t>
  </si>
  <si>
    <t xml:space="preserve">Betreuung je Monat (EUR)</t>
  </si>
  <si>
    <t xml:space="preserve">Lokales Modell gesamt je Monat (EUR)</t>
  </si>
  <si>
    <t xml:space="preserve">nicht direkt mit A oder B vergleichbar: kleineres Modell, keine fertige Oberfläche, Einrichtung nicht enthalten</t>
  </si>
  <si>
    <t xml:space="preserve">Microsoft 365 Copilot Business (setzt Microsoft-365-Lizenz voraus)</t>
  </si>
  <si>
    <t xml:space="preserve">Nutzer mit Copilot-Lizenz</t>
  </si>
  <si>
    <t xml:space="preserve">Kosten je Monat, Listenpreis Jahresabo (EUR)</t>
  </si>
  <si>
    <t xml:space="preserve">Copilot Chat ist in berechtigten Microsoft-365-Plänen ohne Aufpreis enthalten. Kein Break-even: anderer Leistungsumfang.</t>
  </si>
  <si>
    <t xml:space="preserve">Arbeitskosten je geleistete Stunde: Beispiel aus Kapitel 5</t>
  </si>
  <si>
    <t xml:space="preserve">Annahmen für eine Innendienstkraft. Den Zuschlag für Arbeitgeberanteile kennt die Lohnbuchhaltung genau.</t>
  </si>
  <si>
    <t xml:space="preserve">Jahresbruttogehalt</t>
  </si>
  <si>
    <t xml:space="preserve">Zuschlag Arbeitgeberanteile und sonstige Personalkosten</t>
  </si>
  <si>
    <t xml:space="preserve">Annahme; Sozialversicherung allein rund 20–21 %, mit Umlagen und Berufsgenossenschaft eher 22–25 %</t>
  </si>
  <si>
    <t xml:space="preserve">Wochenstunden</t>
  </si>
  <si>
    <t xml:space="preserve">Arbeitstage im Jahr vor Abzügen (52 × 5)</t>
  </si>
  <si>
    <t xml:space="preserve">Urlaubstage</t>
  </si>
  <si>
    <t xml:space="preserve">Feiertage an Werktagen</t>
  </si>
  <si>
    <t xml:space="preserve">Krankheitstage</t>
  </si>
  <si>
    <t xml:space="preserve">Geleistete Stunden im Jahr</t>
  </si>
  <si>
    <t xml:space="preserve">Wirtschaftlichkeitsrechnung (Kapitel 5): Beispielvorgang mit drei Volumina</t>
  </si>
  <si>
    <t xml:space="preserve">Alle Beträge netto. Eingaben in Blau, die einflussreichsten gelb. Arbeitskosten aus Blatt Parameter.</t>
  </si>
  <si>
    <t xml:space="preserve">Position</t>
  </si>
  <si>
    <t xml:space="preserve">geringes Volumen</t>
  </si>
  <si>
    <t xml:space="preserve">mittleres Volumen</t>
  </si>
  <si>
    <t xml:space="preserve">hohes Volumen</t>
  </si>
  <si>
    <t xml:space="preserve">Formel / Erläuterung</t>
  </si>
  <si>
    <t xml:space="preserve">Input-Tokens je Vorgang</t>
  </si>
  <si>
    <t xml:space="preserve">ti: Annahme</t>
  </si>
  <si>
    <t xml:space="preserve">Output-Tokens je Vorgang (Antwort)</t>
  </si>
  <si>
    <t xml:space="preserve">to: Annahme</t>
  </si>
  <si>
    <t xml:space="preserve">Denk-Tokens je Vorgang</t>
  </si>
  <si>
    <t xml:space="preserve">dt: 0 = Denken abgeschaltet bzw. reduziert; siehe Kapitel 3</t>
  </si>
  <si>
    <t xml:space="preserve">M: Auswahl aus Blatt Preise</t>
  </si>
  <si>
    <t xml:space="preserve">EUR</t>
  </si>
  <si>
    <t xml:space="preserve">k</t>
  </si>
  <si>
    <t xml:space="preserve">KI-Kosten je Vorgang mit Denk-Tokens laut Parameter (Empfindlichkeit)</t>
  </si>
  <si>
    <t xml:space="preserve">kD: k zuzüglich Denk_Tokens_Szenario zum Output-Preis des Modells</t>
  </si>
  <si>
    <t xml:space="preserve">Eingaben je Szenario</t>
  </si>
  <si>
    <t xml:space="preserve">V: Annahme</t>
  </si>
  <si>
    <t xml:space="preserve">Minuten je Vorgang ohne KI</t>
  </si>
  <si>
    <t xml:space="preserve">m0: Annahme; vorher selbst messen</t>
  </si>
  <si>
    <t xml:space="preserve">Minuten je Vorgang mit KI (Prüfen, Freigeben)</t>
  </si>
  <si>
    <t xml:space="preserve">m1: Annahme; die menschliche Kontrolle bleibt</t>
  </si>
  <si>
    <t xml:space="preserve">Anteil Vorgänge mit Korrektur</t>
  </si>
  <si>
    <t xml:space="preserve">f: Annahme; im Pilot messen</t>
  </si>
  <si>
    <t xml:space="preserve">Minuten je Korrektur</t>
  </si>
  <si>
    <t xml:space="preserve">mk: Annahme</t>
  </si>
  <si>
    <t xml:space="preserve">EUR/Monat</t>
  </si>
  <si>
    <t xml:space="preserve">Sw: Annahme</t>
  </si>
  <si>
    <t xml:space="preserve">Wartung und Kontrolle (Stichproben, Anpassungen)</t>
  </si>
  <si>
    <t xml:space="preserve">Wh: Annahme</t>
  </si>
  <si>
    <t xml:space="preserve">NT: Annahme</t>
  </si>
  <si>
    <t xml:space="preserve">Eh: Annahme; bewertet mit externem Stundensatz aus Blatt Parameter</t>
  </si>
  <si>
    <t xml:space="preserve">Datenschutz und Recht, einmalig (AVV-Prüfung, Verzeichnis, Information, ggf. Betriebsrat)</t>
  </si>
  <si>
    <t xml:space="preserve">DS: Annahme</t>
  </si>
  <si>
    <t xml:space="preserve">IT-Sicherheit, einmalig (Zugänge, Rechte, Protokollierung)</t>
  </si>
  <si>
    <t xml:space="preserve">IT: Annahme</t>
  </si>
  <si>
    <t xml:space="preserve">Sh: Annahme</t>
  </si>
  <si>
    <t xml:space="preserve">Interne Stunden für Auswahl, Ist-Aufnahme, Testfälle und Pilot; bei eigener Einrichtung zusätzlich deren Stunden</t>
  </si>
  <si>
    <t xml:space="preserve">Ih: Annahme</t>
  </si>
  <si>
    <t xml:space="preserve">Zahlungswirksam realisierbarer Anteil der gesparten Zeit</t>
  </si>
  <si>
    <t xml:space="preserve">r: Annahme. 0 % = Zeit wird anders genutzt, keine Ausgabe sinkt. Anteil nur ansetzen, wenn Überstunden, Aushilfen oder Fremdleistungen tatsächlich wegfallen.</t>
  </si>
  <si>
    <t xml:space="preserve">Ergebnisse</t>
  </si>
  <si>
    <t xml:space="preserve">Wartung gesamt inkl. Neutest nach Modellwechseln</t>
  </si>
  <si>
    <t xml:space="preserve">Wt = Wh + NT / 12</t>
  </si>
  <si>
    <t xml:space="preserve">Arbeitszeit ohne KI</t>
  </si>
  <si>
    <t xml:space="preserve">T0 = V × m0 / 60</t>
  </si>
  <si>
    <t xml:space="preserve">Arbeitszeit mit KI inkl. Korrekturen und Wartung</t>
  </si>
  <si>
    <t xml:space="preserve">T1 = (V × m1 + V × f × mk) / 60 + Wt</t>
  </si>
  <si>
    <t xml:space="preserve">dT = T0 − T1</t>
  </si>
  <si>
    <t xml:space="preserve">Kapazitätsgewinn bewertet</t>
  </si>
  <si>
    <t xml:space="preserve">KG = dT × S</t>
  </si>
  <si>
    <t xml:space="preserve">KI-Kosten im Monat</t>
  </si>
  <si>
    <t xml:space="preserve">KM = V × k</t>
  </si>
  <si>
    <t xml:space="preserve">Laufende zahlungswirksame Kosten</t>
  </si>
  <si>
    <t xml:space="preserve">LK = V × k + Software</t>
  </si>
  <si>
    <t xml:space="preserve">Kosten je Vorgang ohne KI</t>
  </si>
  <si>
    <t xml:space="preserve">KV0 = m0 / 60 × S</t>
  </si>
  <si>
    <t xml:space="preserve">Kosten je Vorgang mit KI</t>
  </si>
  <si>
    <t xml:space="preserve">KV1 = (T1 × S + LK) / V</t>
  </si>
  <si>
    <t xml:space="preserve">Nettoeffekt kalkulatorisch</t>
  </si>
  <si>
    <t xml:space="preserve">NK = KG − LK</t>
  </si>
  <si>
    <t xml:space="preserve">Nettoeffekt zahlungswirksam</t>
  </si>
  <si>
    <t xml:space="preserve">NZ = r × KG − LK</t>
  </si>
  <si>
    <t xml:space="preserve">Einmalkosten zahlungswirksam (extern, Datenschutz, IT-Sicherheit)</t>
  </si>
  <si>
    <t xml:space="preserve">EB = Eh × externer Satz + DS + IT</t>
  </si>
  <si>
    <t xml:space="preserve">Interne Einmalstunden bewertet (Schulung, Ist-Aufnahme, Pilot)</t>
  </si>
  <si>
    <t xml:space="preserve">EI = (Sh + Ih) × S</t>
  </si>
  <si>
    <t xml:space="preserve">EG = EB + EI</t>
  </si>
  <si>
    <t xml:space="preserve">AK = EG / NK</t>
  </si>
  <si>
    <t xml:space="preserve">AZ = EB / NZ (interne Stunden sind keine Auszahlung)</t>
  </si>
  <si>
    <t xml:space="preserve">H24K = Horizont × NK − EG</t>
  </si>
  <si>
    <t xml:space="preserve">H24Z = Horizont × NZ − EB</t>
  </si>
  <si>
    <t xml:space="preserve">s = ((m0 − m1 − f × mk) / 60) × S − k</t>
  </si>
  <si>
    <t xml:space="preserve">Break-even-Volumen kalkulatorisch (aufgerundet)</t>
  </si>
  <si>
    <t xml:space="preserve">Vorgänge/Monat</t>
  </si>
  <si>
    <t xml:space="preserve">BE = (Wt × S + Sw) / s, aufgerundet</t>
  </si>
  <si>
    <t xml:space="preserve">Empfindlichkeit</t>
  </si>
  <si>
    <t xml:space="preserve">Nettoeffekt kalkulatorisch mit Arbeitskosten aus Blatt Arbeitskosten</t>
  </si>
  <si>
    <t xml:space="preserve">NK2 = dT × S_KMU − LK</t>
  </si>
  <si>
    <t xml:space="preserve">Amortisation kalkulatorisch mit diesen Arbeitskosten</t>
  </si>
  <si>
    <t xml:space="preserve">AK2</t>
  </si>
  <si>
    <t xml:space="preserve">Ergebnis nach Betrachtungszeitraum, kalkulatorisch mit diesen Arbeitskosten</t>
  </si>
  <si>
    <t xml:space="preserve">H24K2 = Horizont × NK2 − (EB + (Sh + Ih) × S_KMU)</t>
  </si>
  <si>
    <t xml:space="preserve">Nettoeffekt kalkulatorisch bei halber Zeitersparnis</t>
  </si>
  <si>
    <t xml:space="preserve">NKh = m1 auf die Mitte zwischen m0 und m1 gesetzt</t>
  </si>
  <si>
    <t xml:space="preserve">Amortisation kalkulatorisch bei halber Zeitersparnis</t>
  </si>
  <si>
    <t xml:space="preserve">AKh</t>
  </si>
  <si>
    <t xml:space="preserve">Nettoeffekt kalkulatorisch bei doppelter Korrekturquote</t>
  </si>
  <si>
    <t xml:space="preserve">NKf = f × 2</t>
  </si>
  <si>
    <t xml:space="preserve">Nettoeffekt kalkulatorisch bei höheren KI-Preisen und schwächerem Euro</t>
  </si>
  <si>
    <t xml:space="preserve">NKp = KI-Kosten × Faktor, umgerechnet zum Szenariokurs</t>
  </si>
  <si>
    <t xml:space="preserve">Nettoeffekt kalkulatorisch mit Denk-Tokens laut Parameter</t>
  </si>
  <si>
    <t xml:space="preserve">NKd = NK − V × (kD − k)</t>
  </si>
  <si>
    <t xml:space="preserve">Nettoeffekt kalkulatorisch, Wartung und Neutest durch Dienstleister</t>
  </si>
  <si>
    <t xml:space="preserve">NKx = Wartungsstunden mit externem statt internem Satz</t>
  </si>
  <si>
    <t xml:space="preserve">Amortisation kalkulatorisch, Wartung durch Dienstleister</t>
  </si>
  <si>
    <t xml:space="preserve">AKx</t>
  </si>
  <si>
    <t xml:space="preserve">Mindestvolumen für kalkulatorische Amortisation im Betrachtungszeitraum</t>
  </si>
  <si>
    <t xml:space="preserve">V24 = (EG / Horizont + Wt × S + Sw) / s, aufgerundet; übrige Annahmen der Spalte</t>
  </si>
  <si>
    <t xml:space="preserve">Sensitivität: kalkulatorischer Nettoeffekt je Monat (EUR)</t>
  </si>
  <si>
    <t xml:space="preserve">Basis: übrige Annahmen der Spalte mittleres Volumen im Blatt Wirtschaftlichkeit. Zeilen: Vorgänge je Monat. Spalten: Zeitersparnis je Vorgang vor Korrekturen (m0 − m1) in Minuten.</t>
  </si>
  <si>
    <t xml:space="preserve">Vorgänge \ Minuten gespart</t>
  </si>
  <si>
    <t xml:space="preserve">Rote Werte: Die Lösung kostet mehr, als sie an bewerteter Arbeitszeit spart. Formel je Zelle: V × (((Minuten − f × mk) / 60) × S − k) − Wt × S − Sw.</t>
  </si>
  <si>
    <t xml:space="preserve">Kennzahlen aus dem Text</t>
  </si>
  <si>
    <t xml:space="preserve">Netto gesparte Minuten je Vorgang bei 1 Minute Ersparnis (nach Korrekturen)</t>
  </si>
  <si>
    <t xml:space="preserve">Break-even-Volumen bei 1 Minute Ersparnis (aufgerundet)</t>
  </si>
  <si>
    <t xml:space="preserve">Bewertungsmatrix (Kapitel 6): Kandidaten vergleichen</t>
  </si>
  <si>
    <t xml:space="preserve">Jedes Kriterium von 1 bis 5 bewerten; 5 ist immer günstig für das Unternehmen (bei Aufwand, Datenschutzrisiko, Wartung und Abhängigkeit also: niedrig). Die Matrix ordnet, sie entscheidet nicht. Danach die Rechnung im Blatt Wirtschaftlichkeit.</t>
  </si>
  <si>
    <t xml:space="preserve">Kriterium</t>
  </si>
  <si>
    <t xml:space="preserve">Leitfrage</t>
  </si>
  <si>
    <t xml:space="preserve">Kandidat 1</t>
  </si>
  <si>
    <t xml:space="preserve">Kandidat 2</t>
  </si>
  <si>
    <t xml:space="preserve">Kandidat 3</t>
  </si>
  <si>
    <t xml:space="preserve">Kandidat 4</t>
  </si>
  <si>
    <t xml:space="preserve">Häufigkeit und Schmerz</t>
  </si>
  <si>
    <t xml:space="preserve">Wie oft tritt das Problem bei Ihnen auf, und wie sehr stört es?</t>
  </si>
  <si>
    <t xml:space="preserve">Nutzen</t>
  </si>
  <si>
    <t xml:space="preserve">Wie viel Zeit oder Geld steht je Monat auf dem Spiel?</t>
  </si>
  <si>
    <t xml:space="preserve">Aufwand</t>
  </si>
  <si>
    <t xml:space="preserve">Lässt sich die Lösung mit vorhandenen Werkzeugen umsetzen?</t>
  </si>
  <si>
    <t xml:space="preserve">Datenschutzrisiko</t>
  </si>
  <si>
    <t xml:space="preserve">Werden personenbezogene oder vertrauliche Daten verarbeitet?</t>
  </si>
  <si>
    <t xml:space="preserve">Zuverlässigkeit</t>
  </si>
  <si>
    <t xml:space="preserve">Wie gut erledigen aktuelle Modelle die Aufgabe, und wie leicht fallen Fehler auf?</t>
  </si>
  <si>
    <t xml:space="preserve">Wartung</t>
  </si>
  <si>
    <t xml:space="preserve">Wie oft muss die Lösung angepasst werden?</t>
  </si>
  <si>
    <t xml:space="preserve">Anbieterabhängigkeit</t>
  </si>
  <si>
    <t xml:space="preserve">Wie leicht lässt sich Modell oder Anbieter wechseln?</t>
  </si>
  <si>
    <t xml:space="preserve">Passt zur Betriebsgröße</t>
  </si>
  <si>
    <t xml:space="preserve">Funktioniert die Lösung mit Ihrem Volumen und Ihrem Personal?</t>
  </si>
  <si>
    <t xml:space="preserve">Summe (höchstens 40)</t>
  </si>
  <si>
    <t xml:space="preserve">Lösung ohne KI geprüft? (ja/nein)</t>
  </si>
  <si>
    <t xml:space="preserve">Praxisfall A (Kapitel 7): Montageberichte per Sprachnachricht</t>
  </si>
  <si>
    <t xml:space="preserve">Alle Werte sind Annahmen für ein Modellbeispiel, keine Messwerte. Monteur- und Bürozeit getrennt.</t>
  </si>
  <si>
    <t xml:space="preserve">Kleinbetrieb</t>
  </si>
  <si>
    <t xml:space="preserve">Mittlerer Betrieb</t>
  </si>
  <si>
    <t xml:space="preserve">Betrieb mit hohem Volumen</t>
  </si>
  <si>
    <t xml:space="preserve">Audiominuten je Bericht</t>
  </si>
  <si>
    <t xml:space="preserve">am: Annahme</t>
  </si>
  <si>
    <t xml:space="preserve">Input-Tokens Extraktion (Anweisung, Abschrift, Baustellen-, Mitarbeiter- und Materialliste)</t>
  </si>
  <si>
    <t xml:space="preserve">Output-Tokens (strukturierter Bericht)</t>
  </si>
  <si>
    <t xml:space="preserve">Denk-Tokens je Bericht</t>
  </si>
  <si>
    <t xml:space="preserve">dt: 0: vorgelagertes Denken abgeschaltet (Sonnet 5.5: thinking between_tools, ohne Werkzeuge)</t>
  </si>
  <si>
    <t xml:space="preserve">Modell für die Extraktion</t>
  </si>
  <si>
    <t xml:space="preserve">Monteure</t>
  </si>
  <si>
    <t xml:space="preserve">Nm: Annahme</t>
  </si>
  <si>
    <t xml:space="preserve">Berichte je Monteur und Arbeitstag</t>
  </si>
  <si>
    <t xml:space="preserve">b: Annahme</t>
  </si>
  <si>
    <t xml:space="preserve">Berichte je Monat</t>
  </si>
  <si>
    <t xml:space="preserve">V: Nm × b × Arbeitstage</t>
  </si>
  <si>
    <t xml:space="preserve">Minuten Monteur je Bericht ohne KI (Zettel schreiben)</t>
  </si>
  <si>
    <t xml:space="preserve">m0M: Annahme</t>
  </si>
  <si>
    <t xml:space="preserve">Minuten Büro je Bericht ohne KI (Abtippen)</t>
  </si>
  <si>
    <t xml:space="preserve">m0B: Annahme</t>
  </si>
  <si>
    <t xml:space="preserve">Minuten Monteur je Bericht mit KI (Sprechen)</t>
  </si>
  <si>
    <t xml:space="preserve">m1M: Annahme</t>
  </si>
  <si>
    <t xml:space="preserve">Minuten Büro je Bericht mit KI (Prüfen, Freigeben)</t>
  </si>
  <si>
    <t xml:space="preserve">m1B: Annahme</t>
  </si>
  <si>
    <t xml:space="preserve">Minuten je Bericht ohne KI gesamt</t>
  </si>
  <si>
    <t xml:space="preserve">m0: </t>
  </si>
  <si>
    <t xml:space="preserve">Minuten je Bericht mit KI gesamt</t>
  </si>
  <si>
    <t xml:space="preserve">m1: </t>
  </si>
  <si>
    <t xml:space="preserve">Anteil Berichte mit Rückfrage</t>
  </si>
  <si>
    <t xml:space="preserve">Minuten je Rückfrage, Monteur</t>
  </si>
  <si>
    <t xml:space="preserve">mkM: Annahme</t>
  </si>
  <si>
    <t xml:space="preserve">Minuten je Rückfrage, Büro</t>
  </si>
  <si>
    <t xml:space="preserve">mkB: Annahme</t>
  </si>
  <si>
    <t xml:space="preserve">Minuten je Rückfrage gesamt</t>
  </si>
  <si>
    <t xml:space="preserve">mk: eine Rückfrage bindet zwei Personen</t>
  </si>
  <si>
    <t xml:space="preserve">Schulung je Monteur</t>
  </si>
  <si>
    <t xml:space="preserve">ShM: Annahme</t>
  </si>
  <si>
    <t xml:space="preserve">Schulung Büro</t>
  </si>
  <si>
    <t xml:space="preserve">ShB: Annahme</t>
  </si>
  <si>
    <t xml:space="preserve">Variante: nur Bürozeit zählt</t>
  </si>
  <si>
    <t xml:space="preserve">Nettoeffekt kalkulatorisch, nur Bürozeit</t>
  </si>
  <si>
    <t xml:space="preserve">NKB = Monteurzeit wird nicht bewertet</t>
  </si>
  <si>
    <t xml:space="preserve">Amortisation kalkulatorisch, nur Bürozeit</t>
  </si>
  <si>
    <t xml:space="preserve">AKB</t>
  </si>
  <si>
    <t xml:space="preserve">Break-even, nur Bürozeit (aufgerundet)</t>
  </si>
  <si>
    <t xml:space="preserve">Berichte/Monat</t>
  </si>
  <si>
    <t xml:space="preserve">BEB</t>
  </si>
  <si>
    <t xml:space="preserve">Variante: Vergleich mit gut genutztem digitalem Formular</t>
  </si>
  <si>
    <t xml:space="preserve">Minuten je Bericht mit digitalem Formular (Monteur plus Büro)</t>
  </si>
  <si>
    <t xml:space="preserve">m0F: Annahme: 4 min Monteur + 2 min Büro</t>
  </si>
  <si>
    <t xml:space="preserve">Nettoeffekt je zusätzlichem Bericht gegenüber Formular</t>
  </si>
  <si>
    <t xml:space="preserve">sF</t>
  </si>
  <si>
    <t xml:space="preserve">Nettoeffekt kalkulatorisch gegenüber Formular</t>
  </si>
  <si>
    <t xml:space="preserve">NKF</t>
  </si>
  <si>
    <t xml:space="preserve">Zusatzeffekt: bisher nicht abgerechnete Leistungen</t>
  </si>
  <si>
    <t xml:space="preserve">Verrechnungssatz je Regiestunde (netto)</t>
  </si>
  <si>
    <t xml:space="preserve">VS: Annahme; eigenen Satz einsetzen</t>
  </si>
  <si>
    <t xml:space="preserve">Nötige zusätzlich abgerechnete Stunden je Monat für zahlungswirksame Amortisation in 12 Monaten</t>
  </si>
  <si>
    <t xml:space="preserve">RS = MAX(0; EB / 12 − NZ) / VS</t>
  </si>
  <si>
    <t xml:space="preserve">dasselbe je Monteur</t>
  </si>
  <si>
    <t xml:space="preserve">RSm</t>
  </si>
  <si>
    <t xml:space="preserve">Praxisfall B (Kapitel 8): Auftragsbestätigungen gegen Bestellung prüfen</t>
  </si>
  <si>
    <t xml:space="preserve">Alle Werte sind Annahmen. Das Modell liest nur aus; der Abgleich erfolgt regelbasiert.</t>
  </si>
  <si>
    <t xml:space="preserve">Input-Tokens je Auftragsbestätigung (Text der AB plus Anweisung)</t>
  </si>
  <si>
    <t xml:space="preserve">ti: Annahme: 2–3 Seiten Text</t>
  </si>
  <si>
    <t xml:space="preserve">Output-Tokens (Positionen als strukturierte Liste)</t>
  </si>
  <si>
    <t xml:space="preserve">Denk-Tokens je Bestätigung</t>
  </si>
  <si>
    <t xml:space="preserve">BT: Standard: sofort, weil Abweichungen zeitkritisch sind</t>
  </si>
  <si>
    <t xml:space="preserve">Auftragsbestätigungen je Monat</t>
  </si>
  <si>
    <t xml:space="preserve">Minuten je AB heute (oft nur flüchtige Prüfung)</t>
  </si>
  <si>
    <t xml:space="preserve">m0: Annahme für den Ist-Zustand</t>
  </si>
  <si>
    <t xml:space="preserve">Minuten je AB mit KI (Ergebnis ansehen, Markierungen prüfen)</t>
  </si>
  <si>
    <t xml:space="preserve">m1: Annahme</t>
  </si>
  <si>
    <t xml:space="preserve">Anteil Fehlalarme oder Auslesefehler</t>
  </si>
  <si>
    <t xml:space="preserve">Minuten je Fehlalarm</t>
  </si>
  <si>
    <t xml:space="preserve">mk: Annahme: AB manuell gegenprüfen</t>
  </si>
  <si>
    <t xml:space="preserve">Variante: heute gründliche Prüfung</t>
  </si>
  <si>
    <t xml:space="preserve">Minuten je AB bei gründlicher Prüfung heute</t>
  </si>
  <si>
    <t xml:space="preserve">m0G: Annahme</t>
  </si>
  <si>
    <t xml:space="preserve">Nettoeffekt kalkulatorisch gegenüber gründlicher Prüfung</t>
  </si>
  <si>
    <t xml:space="preserve">NKG</t>
  </si>
  <si>
    <t xml:space="preserve">Amortisation kalkulatorisch gegenüber gründlicher Prüfung</t>
  </si>
  <si>
    <t xml:space="preserve">AKG</t>
  </si>
  <si>
    <t xml:space="preserve">Zusatzeffekt: bisher übersehene Abweichungen</t>
  </si>
  <si>
    <t xml:space="preserve">Nötiger Wert zusätzlich erkannter Abweichungen je Monat für zahlungswirksame Amortisation in 12 Monaten</t>
  </si>
  <si>
    <t xml:space="preserve">RS = MAX(0; EB / 12 − NZ)</t>
  </si>
  <si>
    <t xml:space="preserve">KI-Kosten je AB mit Batch (Vergleich)</t>
  </si>
  <si>
    <t xml:space="preserve">kB</t>
  </si>
  <si>
    <t xml:space="preserve">Nettoeffekt je zusätzlicher AB gegenüber gründlicher Prüfung</t>
  </si>
  <si>
    <t xml:space="preserve">sG</t>
  </si>
  <si>
    <t xml:space="preserve">Break-even kalkulatorisch gegenüber gründlicher Prüfung (aufgerundet)</t>
  </si>
  <si>
    <t xml:space="preserve">AB/Monat</t>
  </si>
  <si>
    <t xml:space="preserve">BEG</t>
  </si>
  <si>
    <t xml:space="preserve">Mindestvolumen für Amortisation im Betrachtungszeitraum, gegenüber gründlicher Prüfung</t>
  </si>
  <si>
    <t xml:space="preserve">V24G</t>
  </si>
  <si>
    <t xml:space="preserve">Praxisfall C (Kapitel 9): Unvollständige Kundenanfragen erkennen und nachfragen</t>
  </si>
  <si>
    <t xml:space="preserve">Alle Werte sind Annahmen. Entwürfe werden immer von einem Menschen geprüft und versendet.</t>
  </si>
  <si>
    <t xml:space="preserve">Input-Tokens je Anfrage (Anweisung, Pflichtangaben-Liste, E-Mail, Anhangsliste)</t>
  </si>
  <si>
    <t xml:space="preserve">Output-Tokens (Prüfergebnis und Rückfrage-Entwurf)</t>
  </si>
  <si>
    <t xml:space="preserve">Denk-Tokens je Anfrage</t>
  </si>
  <si>
    <t xml:space="preserve">dt: 0: Denken abgeschaltet (Haiku 5.5: thinking disabled, Effort höchstens high)</t>
  </si>
  <si>
    <t xml:space="preserve">Vergleichsmodell</t>
  </si>
  <si>
    <t xml:space="preserve">M2: Auswahl aus Blatt Preise</t>
  </si>
  <si>
    <t xml:space="preserve">Kundenanfragen je Monat</t>
  </si>
  <si>
    <t xml:space="preserve">Minuten je Anfrage ohne KI (prüfen, ggf. Rückfrage schreiben)</t>
  </si>
  <si>
    <t xml:space="preserve">m0: Annahme; Durchschnitt über vollständige und unvollständige Anfragen</t>
  </si>
  <si>
    <t xml:space="preserve">Minuten je Anfrage mit KI (Ergebnis und Entwurf prüfen, senden)</t>
  </si>
  <si>
    <t xml:space="preserve">Anteil unbrauchbarer Ergebnisse</t>
  </si>
  <si>
    <t xml:space="preserve">Minuten je unbrauchbarem Ergebnis</t>
  </si>
  <si>
    <t xml:space="preserve">Zusatzeffekt: schnellere Angebote</t>
  </si>
  <si>
    <t xml:space="preserve">Nötiger zusätzlicher Deckungsbeitrag je Monat für zahlungswirksame Amortisation in 12 Monaten</t>
  </si>
  <si>
    <t xml:space="preserve">KI-Kosten im Monat mit Sonnet 5.5 statt Haiku 5.5 (USD, Vergleich)</t>
  </si>
  <si>
    <t xml:space="preserve">KS = Preise des Vergleichsmodells laut Blatt Preise</t>
  </si>
  <si>
    <t xml:space="preserve">Stichprobengröße (Kapitel 11)</t>
  </si>
  <si>
    <t xml:space="preserve">Wahrscheinlichkeit, in n geprüften Vorgängen keinen einzigen Fehler zu finden: P = (1 − a)^n (Anhang A)</t>
  </si>
  <si>
    <t xml:space="preserve">geprüfte Vorgänge n \ Fehleranteil a</t>
  </si>
  <si>
    <t xml:space="preserve">gewünschte Sicherheit c</t>
  </si>
  <si>
    <t xml:space="preserve">Nötige Stichprobe, um mit Sicherheit c mindestens einen Fehler zu sehen</t>
  </si>
  <si>
    <t xml:space="preserve">Fehleranteil a</t>
  </si>
</sst>
</file>

<file path=xl/styles.xml><?xml version="1.0" encoding="utf-8"?>
<styleSheet xmlns="http://schemas.openxmlformats.org/spreadsheetml/2006/main">
  <numFmts count="26">
    <numFmt numFmtId="164" formatCode="General"/>
    <numFmt numFmtId="165" formatCode="#,##0"/>
    <numFmt numFmtId="166" formatCode="#,##0.0"/>
    <numFmt numFmtId="167" formatCode="0%"/>
    <numFmt numFmtId="168" formatCode="#,##0.00&quot; €&quot;;\-#,##0.00&quot; €&quot;;&quot;0,00 €&quot;"/>
    <numFmt numFmtId="169" formatCode="#,##0.0000&quot; €&quot;"/>
    <numFmt numFmtId="170" formatCode="#,##0&quot; €&quot;;\-#,##0&quot; €&quot;;&quot;0 €&quot;"/>
    <numFmt numFmtId="171" formatCode="#,##0.0&quot; h&quot;;\-#,##0.0&quot; h&quot;;&quot;0,0 h&quot;"/>
    <numFmt numFmtId="172" formatCode="#,##0.0&quot; Monate&quot;"/>
    <numFmt numFmtId="173" formatCode="#,##0&quot; Vorgänge/Monat&quot;"/>
    <numFmt numFmtId="174" formatCode="0.0000"/>
    <numFmt numFmtId="175" formatCode="0.00"/>
    <numFmt numFmtId="176" formatCode="#,##0.00&quot; €&quot;;\-#,##0.00&quot; €&quot;;\-"/>
    <numFmt numFmtId="177" formatCode="#,##0;\-#,##0;\-"/>
    <numFmt numFmtId="178" formatCode="0.0"/>
    <numFmt numFmtId="179" formatCode="\$#,##0.00;&quot;-$&quot;#,##0.00;\-"/>
    <numFmt numFmtId="180" formatCode="0.00&quot; €&quot;"/>
    <numFmt numFmtId="181" formatCode="\$#,##0.000"/>
    <numFmt numFmtId="182" formatCode="\$#,##0.0000;&quot;-$&quot;#,##0.0000;\-"/>
    <numFmt numFmtId="183" formatCode="#,##0.0000&quot; €&quot;"/>
    <numFmt numFmtId="184" formatCode="#,##0.0;\-#,##0.0;\-"/>
    <numFmt numFmtId="185" formatCode="0.000&quot; $&quot;"/>
    <numFmt numFmtId="186" formatCode="#,##0&quot; €&quot;;\-#,##0&quot; €&quot;;\-"/>
    <numFmt numFmtId="187" formatCode="#,##0.000&quot; €&quot;"/>
    <numFmt numFmtId="188" formatCode="0.0&quot; min&quot;"/>
    <numFmt numFmtId="189" formatCode="0.0%"/>
  </numFmts>
  <fonts count="14">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9"/>
      <color rgb="FF555555"/>
      <name val="Arial"/>
      <family val="0"/>
      <charset val="1"/>
    </font>
    <font>
      <b val="true"/>
      <sz val="12"/>
      <color rgb="FF1F3864"/>
      <name val="Arial"/>
      <family val="0"/>
      <charset val="1"/>
    </font>
    <font>
      <sz val="10"/>
      <name val="Arial"/>
      <family val="0"/>
      <charset val="1"/>
    </font>
    <font>
      <b val="true"/>
      <u val="single"/>
      <sz val="11"/>
      <color rgb="FF0563C1"/>
      <name val="Arial"/>
      <family val="0"/>
      <charset val="1"/>
    </font>
    <font>
      <b val="true"/>
      <sz val="10"/>
      <name val="Arial"/>
      <family val="0"/>
      <charset val="1"/>
    </font>
    <font>
      <sz val="10"/>
      <color rgb="FF0000FF"/>
      <name val="Arial"/>
      <family val="0"/>
      <charset val="1"/>
    </font>
    <font>
      <b val="true"/>
      <sz val="14"/>
      <name val="Arial"/>
      <family val="0"/>
      <charset val="1"/>
    </font>
    <font>
      <b val="true"/>
      <sz val="11"/>
      <name val="Arial"/>
      <family val="0"/>
      <charset val="1"/>
    </font>
    <font>
      <sz val="10"/>
      <color rgb="FF008000"/>
      <name val="Arial"/>
      <family val="0"/>
      <charset val="1"/>
    </font>
  </fonts>
  <fills count="7">
    <fill>
      <patternFill patternType="none"/>
    </fill>
    <fill>
      <patternFill patternType="gray125"/>
    </fill>
    <fill>
      <patternFill patternType="solid">
        <fgColor rgb="FFD9E1F2"/>
        <bgColor rgb="FFDDEBF7"/>
      </patternFill>
    </fill>
    <fill>
      <patternFill patternType="solid">
        <fgColor rgb="FFDDEBF7"/>
        <bgColor rgb="FFD9E1F2"/>
      </patternFill>
    </fill>
    <fill>
      <patternFill patternType="solid">
        <fgColor rgb="FFF2F2F2"/>
        <bgColor rgb="FFE2EFDA"/>
      </patternFill>
    </fill>
    <fill>
      <patternFill patternType="solid">
        <fgColor rgb="FFE2EFDA"/>
        <bgColor rgb="FFDDEBF7"/>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10" fillId="3" borderId="1" xfId="0" applyFont="true" applyBorder="true" applyAlignment="false" applyProtection="true">
      <alignment horizontal="general" vertical="bottom" textRotation="0" wrapText="false" indent="0" shrinkToFit="false"/>
      <protection locked="fals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true">
      <alignment horizontal="general" vertical="bottom" textRotation="0" wrapText="false" indent="0" shrinkToFit="false"/>
      <protection locked="false" hidden="false"/>
    </xf>
    <xf numFmtId="167" fontId="10" fillId="3" borderId="1" xfId="0" applyFont="true" applyBorder="true" applyAlignment="false" applyProtection="true">
      <alignment horizontal="general" vertical="bottom" textRotation="0" wrapText="false" indent="0" shrinkToFit="false"/>
      <protection locked="false" hidden="false"/>
    </xf>
    <xf numFmtId="168" fontId="10" fillId="3" borderId="1" xfId="0" applyFont="true" applyBorder="true" applyAlignment="false" applyProtection="true">
      <alignment horizontal="general" vertical="bottom" textRotation="0" wrapText="false" indent="0" shrinkToFit="false"/>
      <protection locked="false" hidden="false"/>
    </xf>
    <xf numFmtId="169" fontId="10" fillId="3" borderId="1" xfId="0" applyFont="true" applyBorder="true" applyAlignment="false" applyProtection="true">
      <alignment horizontal="general" vertical="bottom" textRotation="0" wrapText="false" indent="0" shrinkToFit="false"/>
      <protection locked="false" hidden="false"/>
    </xf>
    <xf numFmtId="170" fontId="10" fillId="3" borderId="1" xfId="0" applyFont="true" applyBorder="true" applyAlignment="false" applyProtection="true">
      <alignment horizontal="general" vertical="bottom" textRotation="0" wrapText="false" indent="0" shrinkToFit="false"/>
      <protection locked="fals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71" fontId="7" fillId="4"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9" fillId="5" borderId="1" xfId="0" applyFont="true" applyBorder="true" applyAlignment="false" applyProtection="false">
      <alignment horizontal="general" vertical="bottom" textRotation="0" wrapText="false" indent="0" shrinkToFit="false"/>
      <protection locked="true" hidden="false"/>
    </xf>
    <xf numFmtId="170" fontId="7" fillId="4" borderId="1" xfId="0" applyFont="true" applyBorder="true" applyAlignment="false" applyProtection="false">
      <alignment horizontal="general" vertical="bottom" textRotation="0" wrapText="false" indent="0" shrinkToFit="false"/>
      <protection locked="true" hidden="false"/>
    </xf>
    <xf numFmtId="172" fontId="9" fillId="5" borderId="1" xfId="0" applyFont="true" applyBorder="true" applyAlignment="false" applyProtection="false">
      <alignment horizontal="general" vertical="bottom" textRotation="0" wrapText="false" indent="0" shrinkToFit="false"/>
      <protection locked="true" hidden="false"/>
    </xf>
    <xf numFmtId="173" fontId="7"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74" fontId="10" fillId="6" borderId="1" xfId="0" applyFont="true" applyBorder="true" applyAlignment="true" applyProtection="true">
      <alignment horizontal="general" vertical="bottom" textRotation="0" wrapText="false" indent="0" shrinkToFit="false"/>
      <protection locked="false" hidden="false"/>
    </xf>
    <xf numFmtId="164" fontId="7" fillId="0" borderId="1" xfId="0" applyFont="true" applyBorder="true" applyAlignment="true" applyProtection="false">
      <alignment horizontal="general" vertical="top" textRotation="0" wrapText="true" indent="0" shrinkToFit="false"/>
      <protection locked="true" hidden="false"/>
    </xf>
    <xf numFmtId="175" fontId="10" fillId="3" borderId="1" xfId="0" applyFont="true" applyBorder="true" applyAlignment="true" applyProtection="true">
      <alignment horizontal="general" vertical="bottom" textRotation="0" wrapText="false" indent="0" shrinkToFit="false"/>
      <protection locked="false" hidden="false"/>
    </xf>
    <xf numFmtId="176" fontId="10" fillId="6" borderId="1" xfId="0" applyFont="true" applyBorder="true" applyAlignment="true" applyProtection="true">
      <alignment horizontal="general" vertical="bottom" textRotation="0" wrapText="false" indent="0" shrinkToFit="false"/>
      <protection locked="false" hidden="false"/>
    </xf>
    <xf numFmtId="177" fontId="10" fillId="3" borderId="1" xfId="0" applyFont="true" applyBorder="true" applyAlignment="true" applyProtection="true">
      <alignment horizontal="general" vertical="bottom" textRotation="0" wrapText="false" indent="0" shrinkToFit="false"/>
      <protection locked="false" hidden="false"/>
    </xf>
    <xf numFmtId="178" fontId="10" fillId="6" borderId="1" xfId="0" applyFont="true" applyBorder="true" applyAlignment="true" applyProtection="true">
      <alignment horizontal="general" vertical="bottom" textRotation="0" wrapText="false" indent="0" shrinkToFit="false"/>
      <protection locked="false" hidden="false"/>
    </xf>
    <xf numFmtId="167" fontId="10" fillId="3" borderId="1" xfId="0" applyFont="true" applyBorder="true" applyAlignment="true" applyProtection="true">
      <alignment horizontal="general" vertical="bottom" textRotation="0" wrapText="false" indent="0" shrinkToFit="false"/>
      <protection locked="false" hidden="false"/>
    </xf>
    <xf numFmtId="174" fontId="10" fillId="3" borderId="1" xfId="0" applyFont="true" applyBorder="true" applyAlignment="true" applyProtection="true">
      <alignment horizontal="general" vertical="bottom" textRotation="0" wrapText="false" indent="0" shrinkToFit="false"/>
      <protection locked="false" hidden="false"/>
    </xf>
    <xf numFmtId="179" fontId="10" fillId="3" borderId="1" xfId="0" applyFont="true" applyBorder="true" applyAlignment="true" applyProtection="true">
      <alignment horizontal="general" vertical="bottom" textRotation="0" wrapText="false" indent="0" shrinkToFit="false"/>
      <protection locked="false" hidden="false"/>
    </xf>
    <xf numFmtId="176" fontId="10" fillId="3" borderId="1" xfId="0" applyFont="true" applyBorder="true" applyAlignment="true" applyProtection="true">
      <alignment horizontal="general" vertical="bottom" textRotation="0" wrapText="false" indent="0" shrinkToFit="false"/>
      <protection locked="false" hidden="false"/>
    </xf>
    <xf numFmtId="177" fontId="10" fillId="6" borderId="1" xfId="0" applyFont="true" applyBorder="true" applyAlignment="true" applyProtection="true">
      <alignment horizontal="general" vertical="bottom" textRotation="0" wrapText="false" indent="0" shrinkToFit="false"/>
      <protection locked="false" hidden="false"/>
    </xf>
    <xf numFmtId="180" fontId="10" fillId="3" borderId="1" xfId="0" applyFont="true" applyBorder="tru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false" hidden="false"/>
    </xf>
    <xf numFmtId="181" fontId="10" fillId="3" borderId="1" xfId="0" applyFont="true" applyBorder="true" applyAlignment="true" applyProtection="true">
      <alignment horizontal="general" vertical="bottom" textRotation="0" wrapText="false" indent="0" shrinkToFit="false"/>
      <protection locked="false" hidden="false"/>
    </xf>
    <xf numFmtId="164" fontId="7" fillId="0" borderId="1" xfId="0" applyFont="true" applyBorder="true" applyAlignment="true" applyProtection="true">
      <alignment horizontal="general" vertical="top" textRotation="0" wrapText="true" indent="0" shrinkToFit="false"/>
      <protection locked="false" hidden="false"/>
    </xf>
    <xf numFmtId="164" fontId="10" fillId="3" borderId="1" xfId="0" applyFont="true" applyBorder="true" applyAlignment="true" applyProtection="true">
      <alignment horizontal="general" vertical="bottom" textRotation="0" wrapText="false" indent="0" shrinkToFit="false"/>
      <protection locked="fals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82" fontId="7" fillId="0" borderId="1" xfId="0" applyFont="true" applyBorder="true" applyAlignment="true" applyProtection="false">
      <alignment horizontal="general" vertical="bottom" textRotation="0" wrapText="false" indent="0" shrinkToFit="false"/>
      <protection locked="true" hidden="false"/>
    </xf>
    <xf numFmtId="183" fontId="7" fillId="0" borderId="1" xfId="0" applyFont="true" applyBorder="true" applyAlignment="true" applyProtection="false">
      <alignment horizontal="general" vertical="bottom" textRotation="0" wrapText="false" indent="0" shrinkToFit="false"/>
      <protection locked="true" hidden="false"/>
    </xf>
    <xf numFmtId="176" fontId="7" fillId="4"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79" fontId="7" fillId="0" borderId="1" xfId="0" applyFont="true" applyBorder="true" applyAlignment="true" applyProtection="false">
      <alignment horizontal="general" vertical="bottom" textRotation="0" wrapText="false" indent="0" shrinkToFit="false"/>
      <protection locked="true" hidden="false"/>
    </xf>
    <xf numFmtId="176" fontId="7"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77" fontId="10" fillId="0"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79" fontId="9" fillId="4" borderId="1" xfId="0" applyFont="true" applyBorder="true" applyAlignment="true" applyProtection="false">
      <alignment horizontal="general" vertical="bottom" textRotation="0" wrapText="false" indent="0" shrinkToFit="false"/>
      <protection locked="true" hidden="false"/>
    </xf>
    <xf numFmtId="176" fontId="9" fillId="4" borderId="1" xfId="0" applyFont="true" applyBorder="tru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true">
      <alignment horizontal="general" vertical="bottom" textRotation="0" wrapText="false" indent="0" shrinkToFit="false"/>
      <protection locked="false" hidden="false"/>
    </xf>
    <xf numFmtId="178" fontId="7" fillId="0" borderId="1" xfId="0" applyFont="true" applyBorder="true" applyAlignment="true" applyProtection="false">
      <alignment horizontal="general" vertical="bottom" textRotation="0" wrapText="false" indent="0" shrinkToFit="false"/>
      <protection locked="true" hidden="false"/>
    </xf>
    <xf numFmtId="184" fontId="7" fillId="0" borderId="1" xfId="0" applyFont="true" applyBorder="true" applyAlignment="true" applyProtection="false">
      <alignment horizontal="general" vertical="bottom" textRotation="0" wrapText="false" indent="0" shrinkToFit="false"/>
      <protection locked="true" hidden="false"/>
    </xf>
    <xf numFmtId="185" fontId="7" fillId="0" borderId="1" xfId="0" applyFont="true" applyBorder="true" applyAlignment="true" applyProtection="false">
      <alignment horizontal="general" vertical="bottom" textRotation="0" wrapText="false" indent="0" shrinkToFit="false"/>
      <protection locked="true" hidden="false"/>
    </xf>
    <xf numFmtId="179" fontId="13" fillId="0" borderId="1" xfId="0" applyFont="true" applyBorder="true" applyAlignment="true" applyProtection="false">
      <alignment horizontal="general" vertical="bottom" textRotation="0" wrapText="false" indent="0" shrinkToFit="false"/>
      <protection locked="true" hidden="false"/>
    </xf>
    <xf numFmtId="177" fontId="7" fillId="0"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79" fontId="10" fillId="6" borderId="1" xfId="0" applyFont="true" applyBorder="true" applyAlignment="true" applyProtection="true">
      <alignment horizontal="general" vertical="bottom" textRotation="0" wrapText="false" indent="0" shrinkToFit="false"/>
      <protection locked="false" hidden="false"/>
    </xf>
    <xf numFmtId="184" fontId="10" fillId="6" borderId="1" xfId="0" applyFont="true" applyBorder="true" applyAlignment="true" applyProtection="true">
      <alignment horizontal="general" vertical="bottom" textRotation="0" wrapText="false" indent="0" shrinkToFit="false"/>
      <protection locked="false" hidden="false"/>
    </xf>
    <xf numFmtId="186" fontId="10" fillId="6" borderId="1" xfId="0" applyFont="true" applyBorder="true" applyAlignment="true" applyProtection="true">
      <alignment horizontal="general" vertical="bottom" textRotation="0" wrapText="false" indent="0" shrinkToFit="false"/>
      <protection locked="false" hidden="false"/>
    </xf>
    <xf numFmtId="184" fontId="10" fillId="3" borderId="1" xfId="0" applyFont="true" applyBorder="true" applyAlignment="true" applyProtection="true">
      <alignment horizontal="general" vertical="bottom" textRotation="0" wrapText="false" indent="0" shrinkToFit="false"/>
      <protection locked="false" hidden="false"/>
    </xf>
    <xf numFmtId="186" fontId="10" fillId="3" borderId="1" xfId="0" applyFont="true" applyBorder="true" applyAlignment="true" applyProtection="true">
      <alignment horizontal="general" vertical="bottom" textRotation="0" wrapText="false" indent="0" shrinkToFit="false"/>
      <protection locked="false" hidden="false"/>
    </xf>
    <xf numFmtId="186" fontId="7" fillId="0" borderId="1" xfId="0" applyFont="true" applyBorder="true" applyAlignment="true" applyProtection="false">
      <alignment horizontal="general" vertical="bottom" textRotation="0" wrapText="false" indent="0" shrinkToFit="false"/>
      <protection locked="true" hidden="false"/>
    </xf>
    <xf numFmtId="184" fontId="7" fillId="4" borderId="1" xfId="0" applyFont="true" applyBorder="true" applyAlignment="true" applyProtection="false">
      <alignment horizontal="general" vertical="bottom" textRotation="0" wrapText="false" indent="0" shrinkToFit="false"/>
      <protection locked="true" hidden="false"/>
    </xf>
    <xf numFmtId="186" fontId="7" fillId="4" borderId="1" xfId="0" applyFont="true" applyBorder="true" applyAlignment="true" applyProtection="false">
      <alignment horizontal="general" vertical="bottom" textRotation="0" wrapText="false" indent="0" shrinkToFit="false"/>
      <protection locked="true" hidden="false"/>
    </xf>
    <xf numFmtId="187" fontId="7" fillId="0" borderId="1" xfId="0" applyFont="true" applyBorder="true" applyAlignment="true" applyProtection="false">
      <alignment horizontal="general" vertical="bottom" textRotation="0" wrapText="false" indent="0" shrinkToFit="false"/>
      <protection locked="true" hidden="false"/>
    </xf>
    <xf numFmtId="177" fontId="7" fillId="4" borderId="1" xfId="0" applyFont="true" applyBorder="true" applyAlignment="true" applyProtection="false">
      <alignment horizontal="general" vertical="bottom" textRotation="0" wrapText="false" indent="0" shrinkToFit="false"/>
      <protection locked="true" hidden="false"/>
    </xf>
    <xf numFmtId="188" fontId="10" fillId="2" borderId="1" xfId="0" applyFont="true" applyBorder="true" applyAlignment="true" applyProtection="true">
      <alignment horizontal="general" vertical="bottom" textRotation="0" wrapText="false" indent="0" shrinkToFit="false"/>
      <protection locked="false" hidden="false"/>
    </xf>
    <xf numFmtId="177" fontId="10" fillId="2" borderId="1" xfId="0" applyFont="true" applyBorder="true" applyAlignment="true" applyProtection="true">
      <alignment horizontal="general" vertical="bottom" textRotation="0" wrapText="false" indent="0" shrinkToFit="false"/>
      <protection locked="false" hidden="false"/>
    </xf>
    <xf numFmtId="175" fontId="7"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false" hidden="false"/>
    </xf>
    <xf numFmtId="164" fontId="10" fillId="6" borderId="1" xfId="0" applyFont="true" applyBorder="true" applyAlignment="true" applyProtection="true">
      <alignment horizontal="general" vertical="bottom" textRotation="0" wrapText="false" indent="0" shrinkToFit="false"/>
      <protection locked="false" hidden="false"/>
    </xf>
    <xf numFmtId="164" fontId="9" fillId="0" borderId="1" xfId="0" applyFont="true" applyBorder="true" applyAlignment="true" applyProtection="true">
      <alignment horizontal="general" vertical="bottom" textRotation="0" wrapText="false" indent="0" shrinkToFit="false"/>
      <protection locked="fals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77" fontId="9" fillId="4" borderId="1" xfId="0" applyFont="true" applyBorder="true" applyAlignment="true" applyProtection="false">
      <alignment horizontal="general" vertical="bottom" textRotation="0" wrapText="false" indent="0" shrinkToFit="false"/>
      <protection locked="true" hidden="false"/>
    </xf>
    <xf numFmtId="167" fontId="10" fillId="2" borderId="1" xfId="0" applyFont="true" applyBorder="true" applyAlignment="true" applyProtection="true">
      <alignment horizontal="general" vertical="bottom" textRotation="0" wrapText="false" indent="0" shrinkToFit="false"/>
      <protection locked="false" hidden="false"/>
    </xf>
    <xf numFmtId="189" fontId="7"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name val="Arial"/>
        <charset val="1"/>
        <family val="0"/>
        <color rgb="FFC00000"/>
      </font>
    </dxf>
  </dxfs>
  <colors>
    <indexedColors>
      <rgbColor rgb="FF000000"/>
      <rgbColor rgb="FFF2F2F2"/>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0"/>
  </cols>
  <sheetData>
    <row r="2" customFormat="false" ht="22.05"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row>
    <row r="5" customFormat="false" ht="15" hidden="false" customHeight="false" outlineLevel="0" collapsed="false">
      <c r="B5" s="4" t="s">
        <v>2</v>
      </c>
    </row>
    <row r="6" customFormat="false" ht="15" hidden="false" customHeight="false" outlineLevel="0" collapsed="false">
      <c r="B6" s="5" t="s">
        <v>3</v>
      </c>
    </row>
    <row r="7" customFormat="false" ht="15" hidden="false" customHeight="false" outlineLevel="0" collapsed="false">
      <c r="B7" s="5" t="s">
        <v>4</v>
      </c>
    </row>
    <row r="8" customFormat="false" ht="15" hidden="false" customHeight="false" outlineLevel="0" collapsed="false">
      <c r="B8" s="5" t="s">
        <v>5</v>
      </c>
    </row>
    <row r="9" customFormat="false" ht="15" hidden="false" customHeight="false" outlineLevel="0" collapsed="false">
      <c r="B9" s="3"/>
    </row>
    <row r="10" customFormat="false" ht="15" hidden="false" customHeight="false" outlineLevel="0" collapsed="false">
      <c r="B10" s="6" t="str">
        <f aca="false">HYPERLINK("#'Mein Vorhaben'!A1","→ Zum Blatt „Mein Vorhaben“")</f>
        <v>→ Zum Blatt „Mein Vorhaben“</v>
      </c>
    </row>
    <row r="11" customFormat="false" ht="15" hidden="false" customHeight="false" outlineLevel="0" collapsed="false">
      <c r="B11" s="3"/>
    </row>
    <row r="12" customFormat="false" ht="15" hidden="false" customHeight="false" outlineLevel="0" collapsed="false">
      <c r="B12" s="4" t="s">
        <v>6</v>
      </c>
    </row>
    <row r="13" customFormat="false" ht="23.85" hidden="false" customHeight="false" outlineLevel="0" collapsed="false">
      <c r="B13" s="5" t="s">
        <v>7</v>
      </c>
    </row>
    <row r="14" customFormat="false" ht="15" hidden="false" customHeight="false" outlineLevel="0" collapsed="false">
      <c r="B14" s="3"/>
    </row>
    <row r="15" customFormat="false" ht="15" hidden="false" customHeight="false" outlineLevel="0" collapsed="false">
      <c r="B15" s="4" t="s">
        <v>8</v>
      </c>
    </row>
    <row r="16" customFormat="false" ht="15" hidden="false" customHeight="false" outlineLevel="0" collapsed="false">
      <c r="B16" s="5" t="s">
        <v>9</v>
      </c>
    </row>
    <row r="17" customFormat="false" ht="23.85" hidden="false" customHeight="false" outlineLevel="0" collapsed="false">
      <c r="B17" s="5" t="s">
        <v>10</v>
      </c>
    </row>
    <row r="18" customFormat="false" ht="15" hidden="false" customHeight="false" outlineLevel="0" collapsed="false">
      <c r="B18" s="3"/>
    </row>
    <row r="19" customFormat="false" ht="15" hidden="false" customHeight="false" outlineLevel="0" collapsed="false">
      <c r="B19" s="4" t="s">
        <v>11</v>
      </c>
    </row>
    <row r="20" customFormat="false" ht="15" hidden="false" customHeight="false" outlineLevel="0" collapsed="false">
      <c r="B20" s="5" t="s">
        <v>12</v>
      </c>
    </row>
    <row r="21" customFormat="false" ht="15" hidden="false" customHeight="false" outlineLevel="0" collapsed="false">
      <c r="B21" s="3"/>
    </row>
    <row r="22" customFormat="false" ht="15" hidden="false" customHeight="false" outlineLevel="0" collapsed="false">
      <c r="B22" s="4" t="s">
        <v>13</v>
      </c>
    </row>
    <row r="23" customFormat="false" ht="15" hidden="false" customHeight="false" outlineLevel="0" collapsed="false">
      <c r="B23" s="5" t="s">
        <v>14</v>
      </c>
    </row>
    <row r="24" customFormat="false" ht="23.85" hidden="false" customHeight="false" outlineLevel="0" collapsed="false">
      <c r="B24" s="5" t="s">
        <v>15</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15"/>
    <col collapsed="false" customWidth="true" hidden="false" outlineLevel="0" max="5" min="5" style="0" width="11"/>
    <col collapsed="false" customWidth="true" hidden="false" outlineLevel="0" max="6" min="6" style="0" width="62"/>
  </cols>
  <sheetData>
    <row r="1" customFormat="false" ht="22.05" hidden="false" customHeight="false" outlineLevel="0" collapsed="false">
      <c r="A1" s="7" t="s">
        <v>16</v>
      </c>
    </row>
    <row r="2" customFormat="false" ht="39.75" hidden="false" customHeight="true" outlineLevel="0" collapsed="false">
      <c r="A2" s="8" t="s">
        <v>17</v>
      </c>
      <c r="B2" s="8"/>
      <c r="C2" s="8"/>
      <c r="D2" s="8"/>
      <c r="E2" s="8"/>
      <c r="F2" s="8"/>
    </row>
    <row r="3" customFormat="false" ht="15" hidden="false" customHeight="false" outlineLevel="0" collapsed="false">
      <c r="A3" s="9" t="s">
        <v>18</v>
      </c>
    </row>
    <row r="5" customFormat="false" ht="15" hidden="false" customHeight="false" outlineLevel="0" collapsed="false">
      <c r="A5" s="10" t="s">
        <v>19</v>
      </c>
      <c r="B5" s="10" t="s">
        <v>20</v>
      </c>
      <c r="C5" s="10" t="s">
        <v>21</v>
      </c>
      <c r="D5" s="10" t="s">
        <v>22</v>
      </c>
      <c r="E5" s="10" t="s">
        <v>23</v>
      </c>
      <c r="F5" s="10" t="s">
        <v>24</v>
      </c>
    </row>
    <row r="6" customFormat="false" ht="25.5" hidden="false" customHeight="true" outlineLevel="0" collapsed="false">
      <c r="A6" s="11" t="s">
        <v>25</v>
      </c>
      <c r="B6" s="12" t="n">
        <v>600</v>
      </c>
      <c r="C6" s="12" t="n">
        <v>600</v>
      </c>
      <c r="D6" s="12" t="n">
        <v>600</v>
      </c>
      <c r="E6" s="13" t="s">
        <v>26</v>
      </c>
      <c r="F6" s="2" t="s">
        <v>27</v>
      </c>
    </row>
    <row r="7" customFormat="false" ht="25.5" hidden="false" customHeight="true" outlineLevel="0" collapsed="false">
      <c r="A7" s="11" t="s">
        <v>28</v>
      </c>
      <c r="B7" s="14" t="n">
        <v>6</v>
      </c>
      <c r="C7" s="14" t="n">
        <v>6</v>
      </c>
      <c r="D7" s="14" t="n">
        <v>6</v>
      </c>
      <c r="E7" s="13" t="s">
        <v>29</v>
      </c>
      <c r="F7" s="2" t="s">
        <v>30</v>
      </c>
    </row>
    <row r="8" customFormat="false" ht="25.5" hidden="false" customHeight="true" outlineLevel="0" collapsed="false">
      <c r="A8" s="11" t="s">
        <v>31</v>
      </c>
      <c r="B8" s="14" t="n">
        <v>4</v>
      </c>
      <c r="C8" s="14" t="n">
        <v>2</v>
      </c>
      <c r="D8" s="14" t="n">
        <v>2</v>
      </c>
      <c r="E8" s="13" t="s">
        <v>29</v>
      </c>
      <c r="F8" s="2" t="s">
        <v>32</v>
      </c>
    </row>
    <row r="9" customFormat="false" ht="25.5" hidden="false" customHeight="true" outlineLevel="0" collapsed="false">
      <c r="A9" s="11" t="s">
        <v>33</v>
      </c>
      <c r="B9" s="15" t="n">
        <v>0.08</v>
      </c>
      <c r="C9" s="15" t="n">
        <v>0.08</v>
      </c>
      <c r="D9" s="15" t="n">
        <v>0.08</v>
      </c>
      <c r="E9" s="13" t="s">
        <v>34</v>
      </c>
      <c r="F9" s="2" t="s">
        <v>35</v>
      </c>
    </row>
    <row r="10" customFormat="false" ht="25.5" hidden="false" customHeight="true" outlineLevel="0" collapsed="false">
      <c r="A10" s="11" t="s">
        <v>36</v>
      </c>
      <c r="B10" s="14" t="n">
        <v>5</v>
      </c>
      <c r="C10" s="14" t="n">
        <v>5</v>
      </c>
      <c r="D10" s="14" t="n">
        <v>5</v>
      </c>
      <c r="E10" s="13" t="s">
        <v>29</v>
      </c>
      <c r="F10" s="2" t="s">
        <v>37</v>
      </c>
    </row>
    <row r="11" customFormat="false" ht="25.5" hidden="false" customHeight="true" outlineLevel="0" collapsed="false">
      <c r="A11" s="11" t="s">
        <v>38</v>
      </c>
      <c r="B11" s="16" t="n">
        <v>45</v>
      </c>
      <c r="C11" s="16" t="n">
        <v>45</v>
      </c>
      <c r="D11" s="16" t="n">
        <v>45</v>
      </c>
      <c r="E11" s="13" t="s">
        <v>39</v>
      </c>
      <c r="F11" s="2" t="s">
        <v>40</v>
      </c>
    </row>
    <row r="12" customFormat="false" ht="25.5" hidden="false" customHeight="true" outlineLevel="0" collapsed="false">
      <c r="A12" s="11" t="s">
        <v>41</v>
      </c>
      <c r="B12" s="17" t="n">
        <f aca="false">Wirtschaftlichkeit!$C$10</f>
        <v>0.00956521739130435</v>
      </c>
      <c r="C12" s="17" t="n">
        <f aca="false">Wirtschaftlichkeit!$C$10</f>
        <v>0.00956521739130435</v>
      </c>
      <c r="D12" s="17" t="n">
        <f aca="false">Wirtschaftlichkeit!$C$10</f>
        <v>0.00956521739130435</v>
      </c>
      <c r="E12" s="13" t="s">
        <v>42</v>
      </c>
      <c r="F12" s="2" t="s">
        <v>43</v>
      </c>
    </row>
    <row r="13" customFormat="false" ht="25.5" hidden="false" customHeight="true" outlineLevel="0" collapsed="false">
      <c r="A13" s="11" t="s">
        <v>44</v>
      </c>
      <c r="B13" s="16" t="n">
        <v>50</v>
      </c>
      <c r="C13" s="16" t="n">
        <v>50</v>
      </c>
      <c r="D13" s="16" t="n">
        <v>50</v>
      </c>
      <c r="E13" s="13" t="s">
        <v>45</v>
      </c>
      <c r="F13" s="2" t="s">
        <v>46</v>
      </c>
    </row>
    <row r="14" customFormat="false" ht="25.5" hidden="false" customHeight="true" outlineLevel="0" collapsed="false">
      <c r="A14" s="11" t="s">
        <v>47</v>
      </c>
      <c r="B14" s="14" t="n">
        <v>4</v>
      </c>
      <c r="C14" s="14" t="n">
        <v>4</v>
      </c>
      <c r="D14" s="14" t="n">
        <v>4</v>
      </c>
      <c r="E14" s="13" t="s">
        <v>48</v>
      </c>
      <c r="F14" s="2" t="s">
        <v>49</v>
      </c>
    </row>
    <row r="15" customFormat="false" ht="25.5" hidden="false" customHeight="true" outlineLevel="0" collapsed="false">
      <c r="A15" s="11" t="s">
        <v>50</v>
      </c>
      <c r="B15" s="14" t="n">
        <v>8</v>
      </c>
      <c r="C15" s="14" t="n">
        <v>8</v>
      </c>
      <c r="D15" s="14" t="n">
        <v>8</v>
      </c>
      <c r="E15" s="13" t="s">
        <v>51</v>
      </c>
      <c r="F15" s="2" t="s">
        <v>52</v>
      </c>
    </row>
    <row r="16" customFormat="false" ht="25.5" hidden="false" customHeight="true" outlineLevel="0" collapsed="false">
      <c r="A16" s="11" t="s">
        <v>53</v>
      </c>
      <c r="B16" s="14" t="n">
        <v>50</v>
      </c>
      <c r="C16" s="14" t="n">
        <v>50</v>
      </c>
      <c r="D16" s="14" t="n">
        <v>50</v>
      </c>
      <c r="E16" s="13" t="s">
        <v>54</v>
      </c>
      <c r="F16" s="2" t="s">
        <v>55</v>
      </c>
    </row>
    <row r="17" customFormat="false" ht="25.5" hidden="false" customHeight="true" outlineLevel="0" collapsed="false">
      <c r="A17" s="11" t="s">
        <v>56</v>
      </c>
      <c r="B17" s="16" t="n">
        <v>100</v>
      </c>
      <c r="C17" s="16" t="n">
        <v>100</v>
      </c>
      <c r="D17" s="16" t="n">
        <v>100</v>
      </c>
      <c r="E17" s="13" t="s">
        <v>39</v>
      </c>
      <c r="F17" s="2" t="s">
        <v>57</v>
      </c>
    </row>
    <row r="18" customFormat="false" ht="25.5" hidden="false" customHeight="true" outlineLevel="0" collapsed="false">
      <c r="A18" s="11" t="s">
        <v>58</v>
      </c>
      <c r="B18" s="18" t="n">
        <v>600</v>
      </c>
      <c r="C18" s="18" t="n">
        <v>600</v>
      </c>
      <c r="D18" s="18" t="n">
        <v>600</v>
      </c>
      <c r="E18" s="13" t="s">
        <v>42</v>
      </c>
      <c r="F18" s="2" t="s">
        <v>59</v>
      </c>
    </row>
    <row r="19" customFormat="false" ht="25.5" hidden="false" customHeight="true" outlineLevel="0" collapsed="false">
      <c r="A19" s="11" t="s">
        <v>60</v>
      </c>
      <c r="B19" s="18" t="n">
        <v>400</v>
      </c>
      <c r="C19" s="18" t="n">
        <v>400</v>
      </c>
      <c r="D19" s="18" t="n">
        <v>400</v>
      </c>
      <c r="E19" s="13" t="s">
        <v>42</v>
      </c>
      <c r="F19" s="2" t="s">
        <v>61</v>
      </c>
    </row>
    <row r="20" customFormat="false" ht="25.5" hidden="false" customHeight="true" outlineLevel="0" collapsed="false">
      <c r="A20" s="11" t="s">
        <v>62</v>
      </c>
      <c r="B20" s="14" t="n">
        <v>12</v>
      </c>
      <c r="C20" s="14" t="n">
        <v>12</v>
      </c>
      <c r="D20" s="14" t="n">
        <v>12</v>
      </c>
      <c r="E20" s="13" t="s">
        <v>63</v>
      </c>
      <c r="F20" s="2" t="s">
        <v>64</v>
      </c>
    </row>
    <row r="21" customFormat="false" ht="25.5" hidden="false" customHeight="true" outlineLevel="0" collapsed="false">
      <c r="A21" s="11" t="s">
        <v>65</v>
      </c>
      <c r="B21" s="14" t="n">
        <v>16</v>
      </c>
      <c r="C21" s="14" t="n">
        <v>16</v>
      </c>
      <c r="D21" s="14" t="n">
        <v>16</v>
      </c>
      <c r="E21" s="13" t="s">
        <v>63</v>
      </c>
      <c r="F21" s="2" t="s">
        <v>66</v>
      </c>
    </row>
    <row r="22" customFormat="false" ht="25.5" hidden="false" customHeight="true" outlineLevel="0" collapsed="false">
      <c r="A22" s="11" t="s">
        <v>67</v>
      </c>
      <c r="B22" s="15" t="n">
        <v>0.3</v>
      </c>
      <c r="C22" s="15" t="n">
        <v>0.3</v>
      </c>
      <c r="D22" s="15" t="n">
        <v>0.3</v>
      </c>
      <c r="E22" s="13" t="s">
        <v>34</v>
      </c>
      <c r="F22" s="2" t="s">
        <v>68</v>
      </c>
    </row>
    <row r="23" customFormat="false" ht="25.5" hidden="false" customHeight="true" outlineLevel="0" collapsed="false">
      <c r="A23" s="11" t="s">
        <v>69</v>
      </c>
      <c r="B23" s="16" t="n">
        <v>0</v>
      </c>
      <c r="C23" s="16" t="n">
        <v>0</v>
      </c>
      <c r="D23" s="16" t="n">
        <v>0</v>
      </c>
      <c r="E23" s="13" t="s">
        <v>45</v>
      </c>
      <c r="F23" s="2" t="s">
        <v>70</v>
      </c>
    </row>
    <row r="24" customFormat="false" ht="25.5" hidden="false" customHeight="true" outlineLevel="0" collapsed="false">
      <c r="A24" s="11" t="s">
        <v>71</v>
      </c>
      <c r="B24" s="12" t="n">
        <v>24</v>
      </c>
      <c r="C24" s="12" t="n">
        <v>24</v>
      </c>
      <c r="D24" s="12" t="n">
        <v>24</v>
      </c>
      <c r="E24" s="13" t="s">
        <v>72</v>
      </c>
      <c r="F24" s="2" t="s">
        <v>73</v>
      </c>
    </row>
    <row r="26" customFormat="false" ht="15" hidden="false" customHeight="false" outlineLevel="0" collapsed="false">
      <c r="A26" s="19" t="s">
        <v>74</v>
      </c>
      <c r="B26" s="20"/>
      <c r="C26" s="20"/>
      <c r="D26" s="20"/>
      <c r="E26" s="20"/>
      <c r="F26" s="20"/>
    </row>
    <row r="27" customFormat="false" ht="15" hidden="false" customHeight="false" outlineLevel="0" collapsed="false">
      <c r="A27" s="13" t="s">
        <v>75</v>
      </c>
      <c r="B27" s="21" t="n">
        <f aca="false">B6*B7/60</f>
        <v>60</v>
      </c>
      <c r="C27" s="21" t="n">
        <f aca="false">C6*C7/60</f>
        <v>60</v>
      </c>
      <c r="D27" s="21" t="n">
        <f aca="false">D6*D7/60</f>
        <v>60</v>
      </c>
      <c r="E27" s="13" t="s">
        <v>48</v>
      </c>
      <c r="F27" s="2" t="s">
        <v>76</v>
      </c>
    </row>
    <row r="28" customFormat="false" ht="15" hidden="false" customHeight="false" outlineLevel="0" collapsed="false">
      <c r="A28" s="13" t="s">
        <v>77</v>
      </c>
      <c r="B28" s="21" t="n">
        <f aca="false">(B6*B8+B6*B9*B10)/60+B14+B15/12</f>
        <v>48.6666666666667</v>
      </c>
      <c r="C28" s="21" t="n">
        <f aca="false">(C6*C8+C6*C9*C10)/60+C14+C15/12</f>
        <v>28.6666666666667</v>
      </c>
      <c r="D28" s="21" t="n">
        <f aca="false">(D6*D8+D6*D9*D10)/60+D14+D15/12</f>
        <v>28.6666666666667</v>
      </c>
      <c r="E28" s="13" t="s">
        <v>48</v>
      </c>
      <c r="F28" s="2" t="s">
        <v>78</v>
      </c>
    </row>
    <row r="29" customFormat="false" ht="15" hidden="false" customHeight="false" outlineLevel="0" collapsed="false">
      <c r="A29" s="13" t="s">
        <v>79</v>
      </c>
      <c r="B29" s="21" t="n">
        <f aca="false">B27-B28</f>
        <v>11.3333333333333</v>
      </c>
      <c r="C29" s="21" t="n">
        <f aca="false">C27-C28</f>
        <v>31.3333333333333</v>
      </c>
      <c r="D29" s="21" t="n">
        <f aca="false">D27-D28</f>
        <v>31.3333333333333</v>
      </c>
      <c r="E29" s="13" t="s">
        <v>48</v>
      </c>
      <c r="F29" s="2" t="s">
        <v>80</v>
      </c>
    </row>
    <row r="30" customFormat="false" ht="15" hidden="false" customHeight="false" outlineLevel="0" collapsed="false">
      <c r="A30" s="13" t="s">
        <v>81</v>
      </c>
      <c r="B30" s="22" t="n">
        <f aca="false">B29*B11</f>
        <v>510</v>
      </c>
      <c r="C30" s="22" t="n">
        <f aca="false">C29*C11</f>
        <v>1410</v>
      </c>
      <c r="D30" s="22" t="n">
        <f aca="false">D29*D11</f>
        <v>1410</v>
      </c>
      <c r="E30" s="13" t="s">
        <v>45</v>
      </c>
      <c r="F30" s="2" t="s">
        <v>82</v>
      </c>
    </row>
    <row r="31" customFormat="false" ht="15" hidden="false" customHeight="false" outlineLevel="0" collapsed="false">
      <c r="A31" s="13" t="s">
        <v>83</v>
      </c>
      <c r="B31" s="22" t="n">
        <f aca="false">B6*B12+B13</f>
        <v>55.7391304347826</v>
      </c>
      <c r="C31" s="22" t="n">
        <f aca="false">C6*C12+C13</f>
        <v>55.7391304347826</v>
      </c>
      <c r="D31" s="22" t="n">
        <f aca="false">D6*D12+D13</f>
        <v>55.7391304347826</v>
      </c>
      <c r="E31" s="13" t="s">
        <v>45</v>
      </c>
      <c r="F31" s="2" t="s">
        <v>84</v>
      </c>
    </row>
    <row r="32" customFormat="false" ht="15" hidden="false" customHeight="false" outlineLevel="0" collapsed="false">
      <c r="A32" s="23" t="s">
        <v>85</v>
      </c>
      <c r="B32" s="24" t="n">
        <f aca="false">B30-B31</f>
        <v>454.260869565218</v>
      </c>
      <c r="C32" s="24" t="n">
        <f aca="false">C30-C31</f>
        <v>1354.26086956522</v>
      </c>
      <c r="D32" s="24" t="n">
        <f aca="false">D30-D31</f>
        <v>1354.26086956522</v>
      </c>
      <c r="E32" s="13" t="s">
        <v>45</v>
      </c>
      <c r="F32" s="2" t="s">
        <v>86</v>
      </c>
    </row>
    <row r="33" customFormat="false" ht="15" hidden="false" customHeight="false" outlineLevel="0" collapsed="false">
      <c r="A33" s="13" t="s">
        <v>87</v>
      </c>
      <c r="B33" s="22" t="n">
        <f aca="false">B30*B22</f>
        <v>153</v>
      </c>
      <c r="C33" s="22" t="n">
        <f aca="false">C30*C22</f>
        <v>423</v>
      </c>
      <c r="D33" s="22" t="n">
        <f aca="false">D30*D22</f>
        <v>423</v>
      </c>
      <c r="E33" s="13" t="s">
        <v>45</v>
      </c>
      <c r="F33" s="2" t="s">
        <v>88</v>
      </c>
    </row>
    <row r="34" customFormat="false" ht="22.35" hidden="false" customHeight="false" outlineLevel="0" collapsed="false">
      <c r="A34" s="23" t="s">
        <v>89</v>
      </c>
      <c r="B34" s="24" t="n">
        <f aca="false">B33+B23-B31</f>
        <v>97.2608695652174</v>
      </c>
      <c r="C34" s="24" t="n">
        <f aca="false">C33+C23-C31</f>
        <v>367.260869565217</v>
      </c>
      <c r="D34" s="24" t="n">
        <f aca="false">D33+D23-D31</f>
        <v>367.260869565217</v>
      </c>
      <c r="E34" s="13" t="s">
        <v>45</v>
      </c>
      <c r="F34" s="2" t="s">
        <v>90</v>
      </c>
    </row>
    <row r="35" customFormat="false" ht="15" hidden="false" customHeight="false" outlineLevel="0" collapsed="false">
      <c r="A35" s="13" t="s">
        <v>91</v>
      </c>
      <c r="B35" s="25" t="n">
        <f aca="false">B16*B17+B18+B19</f>
        <v>6000</v>
      </c>
      <c r="C35" s="25" t="n">
        <f aca="false">C16*C17+C18+C19</f>
        <v>6000</v>
      </c>
      <c r="D35" s="25" t="n">
        <f aca="false">D16*D17+D18+D19</f>
        <v>6000</v>
      </c>
      <c r="E35" s="13" t="s">
        <v>42</v>
      </c>
      <c r="F35" s="2" t="s">
        <v>92</v>
      </c>
    </row>
    <row r="36" customFormat="false" ht="15" hidden="false" customHeight="false" outlineLevel="0" collapsed="false">
      <c r="A36" s="13" t="s">
        <v>93</v>
      </c>
      <c r="B36" s="25" t="n">
        <f aca="false">(B20+B21)*B11</f>
        <v>1260</v>
      </c>
      <c r="C36" s="25" t="n">
        <f aca="false">(C20+C21)*C11</f>
        <v>1260</v>
      </c>
      <c r="D36" s="25" t="n">
        <f aca="false">(D20+D21)*D11</f>
        <v>1260</v>
      </c>
      <c r="E36" s="13" t="s">
        <v>42</v>
      </c>
      <c r="F36" s="2" t="s">
        <v>94</v>
      </c>
    </row>
    <row r="37" customFormat="false" ht="15" hidden="false" customHeight="false" outlineLevel="0" collapsed="false">
      <c r="A37" s="13" t="s">
        <v>95</v>
      </c>
      <c r="B37" s="25" t="n">
        <f aca="false">B35+B36</f>
        <v>7260</v>
      </c>
      <c r="C37" s="25" t="n">
        <f aca="false">C35+C36</f>
        <v>7260</v>
      </c>
      <c r="D37" s="25" t="n">
        <f aca="false">D35+D36</f>
        <v>7260</v>
      </c>
      <c r="E37" s="13" t="s">
        <v>42</v>
      </c>
      <c r="F37" s="2"/>
    </row>
    <row r="38" customFormat="false" ht="15" hidden="false" customHeight="false" outlineLevel="0" collapsed="false">
      <c r="A38" s="23" t="s">
        <v>96</v>
      </c>
      <c r="B38" s="26" t="n">
        <f aca="false">IF(B32&gt;0,B37/B32,"nicht erreichbar")</f>
        <v>15.9820061255743</v>
      </c>
      <c r="C38" s="26" t="n">
        <f aca="false">IF(C32&gt;0,C37/C32,"nicht erreichbar")</f>
        <v>5.36085783998973</v>
      </c>
      <c r="D38" s="26" t="n">
        <f aca="false">IF(D32&gt;0,D37/D32,"nicht erreichbar")</f>
        <v>5.36085783998973</v>
      </c>
      <c r="E38" s="13" t="s">
        <v>72</v>
      </c>
      <c r="F38" s="2" t="s">
        <v>97</v>
      </c>
    </row>
    <row r="39" customFormat="false" ht="22.35" hidden="false" customHeight="false" outlineLevel="0" collapsed="false">
      <c r="A39" s="23" t="s">
        <v>98</v>
      </c>
      <c r="B39" s="26" t="n">
        <f aca="false">IF(B34&gt;0,B35/B34,"nicht erreichbar")</f>
        <v>61.6897630755476</v>
      </c>
      <c r="C39" s="26" t="n">
        <f aca="false">IF(C34&gt;0,C35/C34,"nicht erreichbar")</f>
        <v>16.3371611222919</v>
      </c>
      <c r="D39" s="26" t="n">
        <f aca="false">IF(D34&gt;0,D35/D34,"nicht erreichbar")</f>
        <v>16.3371611222919</v>
      </c>
      <c r="E39" s="13" t="s">
        <v>72</v>
      </c>
      <c r="F39" s="2" t="s">
        <v>99</v>
      </c>
    </row>
    <row r="40" customFormat="false" ht="15" hidden="false" customHeight="false" outlineLevel="0" collapsed="false">
      <c r="A40" s="13" t="s">
        <v>100</v>
      </c>
      <c r="B40" s="25" t="n">
        <f aca="false">B24*B32-B37</f>
        <v>3642.26086956522</v>
      </c>
      <c r="C40" s="25" t="n">
        <f aca="false">C24*C32-C37</f>
        <v>25242.2608695652</v>
      </c>
      <c r="D40" s="25" t="n">
        <f aca="false">D24*D32-D37</f>
        <v>25242.2608695652</v>
      </c>
      <c r="E40" s="13" t="s">
        <v>42</v>
      </c>
      <c r="F40" s="2"/>
    </row>
    <row r="41" customFormat="false" ht="15" hidden="false" customHeight="false" outlineLevel="0" collapsed="false">
      <c r="A41" s="13" t="s">
        <v>101</v>
      </c>
      <c r="B41" s="25" t="n">
        <f aca="false">B24*B34-B35</f>
        <v>-3665.73913043478</v>
      </c>
      <c r="C41" s="25" t="n">
        <f aca="false">C24*C34-C35</f>
        <v>2814.26086956522</v>
      </c>
      <c r="D41" s="25" t="n">
        <f aca="false">D24*D34-D35</f>
        <v>2814.26086956522</v>
      </c>
      <c r="E41" s="13" t="s">
        <v>42</v>
      </c>
      <c r="F41" s="2"/>
    </row>
    <row r="42" customFormat="false" ht="15" hidden="false" customHeight="false" outlineLevel="0" collapsed="false">
      <c r="A42" s="13" t="s">
        <v>102</v>
      </c>
      <c r="B42" s="22" t="n">
        <f aca="false">(B7-B8-B9*B10)/60*B11-B12</f>
        <v>1.1904347826087</v>
      </c>
      <c r="C42" s="22" t="n">
        <f aca="false">(C7-C8-C9*C10)/60*C11-C12</f>
        <v>2.6904347826087</v>
      </c>
      <c r="D42" s="22" t="n">
        <f aca="false">(D7-D8-D9*D10)/60*D11-D12</f>
        <v>2.6904347826087</v>
      </c>
      <c r="E42" s="13" t="s">
        <v>42</v>
      </c>
      <c r="F42" s="2" t="s">
        <v>103</v>
      </c>
    </row>
    <row r="43" customFormat="false" ht="15" hidden="false" customHeight="false" outlineLevel="0" collapsed="false">
      <c r="A43" s="13" t="s">
        <v>104</v>
      </c>
      <c r="B43" s="27" t="n">
        <f aca="false">IF(B42&gt;0,ROUNDUP(((B14+B15/12)*B11+B13)/B42,0),"nie")</f>
        <v>219</v>
      </c>
      <c r="C43" s="27" t="n">
        <f aca="false">IF(C42&gt;0,ROUNDUP(((C14+C15/12)*C11+C13)/C42,0),"nie")</f>
        <v>97</v>
      </c>
      <c r="D43" s="27" t="n">
        <f aca="false">IF(D42&gt;0,ROUNDUP(((D14+D15/12)*D11+D13)/D42,0),"nie")</f>
        <v>97</v>
      </c>
      <c r="E43" s="13" t="s">
        <v>105</v>
      </c>
      <c r="F43" s="2" t="s">
        <v>106</v>
      </c>
    </row>
    <row r="45" customFormat="false" ht="61.5" hidden="false" customHeight="true" outlineLevel="0" collapsed="false">
      <c r="A45" s="23" t="s">
        <v>107</v>
      </c>
      <c r="B45" s="28" t="str">
        <f aca="false">IFERROR(IF(B6=0,"Keine Vorgänge eingetragen.",IF(B32&lt;=0,"Rechnet sich nicht: Die bewertete Zeitersparnis deckt die laufenden Kosten nicht.",IF(B40&lt;0,"Laufend positiv, aber die Einmalkosten werden im Betrachtungszeitraum nicht zurückverdient.",IF(B34&lt;=0,"Kalkulatorisch lohnend. Geld spart es nur, wenn die frei werdende Zeit tatsächlich Ausgaben ersetzt.",IF(B41&lt;0,"Kalkulatorisch lohnend; die Einmalauszahlungen werden im Betrachtungszeitraum aber nicht durch tatsächlich gesparte Ausgaben zurückverdient.","Kalkulatorisch und zahlungswirksam positiv. Annahmen im Pilotprojekt messen."))))),"Eingaben prüfen.")</f>
        <v>Kalkulatorisch lohnend; die Einmalauszahlungen werden im Betrachtungszeitraum aber nicht durch tatsächlich gesparte Ausgaben zurückverdient.</v>
      </c>
      <c r="C45" s="28" t="str">
        <f aca="false">IFERROR(IF(C6=0,"Keine Vorgänge eingetragen.",IF(C32&lt;=0,"Rechnet sich nicht: Die bewertete Zeitersparnis deckt die laufenden Kosten nicht.",IF(C40&lt;0,"Laufend positiv, aber die Einmalkosten werden im Betrachtungszeitraum nicht zurückverdient.",IF(C34&lt;=0,"Kalkulatorisch lohnend. Geld spart es nur, wenn die frei werdende Zeit tatsächlich Ausgaben ersetzt.",IF(C41&lt;0,"Kalkulatorisch lohnend; die Einmalauszahlungen werden im Betrachtungszeitraum aber nicht durch tatsächlich gesparte Ausgaben zurückverdient.","Kalkulatorisch und zahlungswirksam positiv. Annahmen im Pilotprojekt messen."))))),"Eingaben prüfen.")</f>
        <v>Kalkulatorisch und zahlungswirksam positiv. Annahmen im Pilotprojekt messen.</v>
      </c>
      <c r="D45" s="28" t="str">
        <f aca="false">IFERROR(IF(D6=0,"Keine Vorgänge eingetragen.",IF(D32&lt;=0,"Rechnet sich nicht: Die bewertete Zeitersparnis deckt die laufenden Kosten nicht.",IF(D40&lt;0,"Laufend positiv, aber die Einmalkosten werden im Betrachtungszeitraum nicht zurückverdient.",IF(D34&lt;=0,"Kalkulatorisch lohnend. Geld spart es nur, wenn die frei werdende Zeit tatsächlich Ausgaben ersetzt.",IF(D41&lt;0,"Kalkulatorisch lohnend; die Einmalauszahlungen werden im Betrachtungszeitraum aber nicht durch tatsächlich gesparte Ausgaben zurückverdient.","Kalkulatorisch und zahlungswirksam positiv. Annahmen im Pilotprojekt messen."))))),"Eingaben prüfen.")</f>
        <v>Kalkulatorisch und zahlungswirksam positiv. Annahmen im Pilotprojekt messen.</v>
      </c>
    </row>
    <row r="46" customFormat="false" ht="61.5" hidden="false" customHeight="true" outlineLevel="0" collapsed="false">
      <c r="A46" s="23" t="s">
        <v>108</v>
      </c>
      <c r="B46" s="28" t="str">
        <f aca="false">IF((B6&lt;=0)+(B8&gt;=B7)+(B9&gt;0.5)+(B7&gt;240)+(B11&lt;15)+(B11&gt;150)+(B12&gt;1)=0,"keine",IF(B6&lt;=0,"Vorgänge fehlen. ","")&amp;IF(B8&gt;=B7,"Mit KI nicht schneller als heute. ","")&amp;IF(B9&gt;0.5,"Nacharbeit über 50 % ist sehr hoch. ","")&amp;IF(B7&gt;240,"Mehr als 4 Stunden je Vorgang: Einheit Minuten prüfen. ","")&amp;IF(OR(B11&lt;15,B11&gt;150),"Arbeitskosten je Stunde ungewöhnlich, Blatt Arbeitskosten prüfen. ","")&amp;IF(B12&gt;1,"KI-Kosten über 1 € je Vorgang: Angabe prüfen.",""))</f>
        <v>keine</v>
      </c>
      <c r="C46" s="28" t="str">
        <f aca="false">IF((C6&lt;=0)+(C8&gt;=C7)+(C9&gt;0.5)+(C7&gt;240)+(C11&lt;15)+(C11&gt;150)+(C12&gt;1)=0,"keine",IF(C6&lt;=0,"Vorgänge fehlen. ","")&amp;IF(C8&gt;=C7,"Mit KI nicht schneller als heute. ","")&amp;IF(C9&gt;0.5,"Nacharbeit über 50 % ist sehr hoch. ","")&amp;IF(C7&gt;240,"Mehr als 4 Stunden je Vorgang: Einheit Minuten prüfen. ","")&amp;IF(OR(C11&lt;15,C11&gt;150),"Arbeitskosten je Stunde ungewöhnlich, Blatt Arbeitskosten prüfen. ","")&amp;IF(C12&gt;1,"KI-Kosten über 1 € je Vorgang: Angabe prüfen.",""))</f>
        <v>keine</v>
      </c>
      <c r="D46" s="28" t="str">
        <f aca="false">IF((D6&lt;=0)+(D8&gt;=D7)+(D9&gt;0.5)+(D7&gt;240)+(D11&lt;15)+(D11&gt;150)+(D12&gt;1)=0,"keine",IF(D6&lt;=0,"Vorgänge fehlen. ","")&amp;IF(D8&gt;=D7,"Mit KI nicht schneller als heute. ","")&amp;IF(D9&gt;0.5,"Nacharbeit über 50 % ist sehr hoch. ","")&amp;IF(D7&gt;240,"Mehr als 4 Stunden je Vorgang: Einheit Minuten prüfen. ","")&amp;IF(OR(D11&lt;15,D11&gt;150),"Arbeitskosten je Stunde ungewöhnlich, Blatt Arbeitskosten prüfen. ","")&amp;IF(D12&gt;1,"KI-Kosten über 1 € je Vorgang: Angabe prüfen.",""))</f>
        <v>keine</v>
      </c>
    </row>
    <row r="48" customFormat="false" ht="42" hidden="false" customHeight="true" outlineLevel="0" collapsed="false">
      <c r="A48" s="8" t="s">
        <v>109</v>
      </c>
      <c r="B48" s="8"/>
      <c r="C48" s="8"/>
      <c r="D48" s="8"/>
      <c r="E48" s="8"/>
      <c r="F48" s="8"/>
    </row>
  </sheetData>
  <sheetProtection sheet="true" formatColumns="false" formatRows="false"/>
  <mergeCells count="2">
    <mergeCell ref="A2:F2"/>
    <mergeCell ref="A48:F48"/>
  </mergeCells>
  <conditionalFormatting sqref="B46">
    <cfRule type="expression" priority="2" aboveAverage="0" equalAverage="0" bottom="0" percent="0" rank="0" text="" dxfId="0">
      <formula>B46&lt;&gt;"keine"</formula>
    </cfRule>
  </conditionalFormatting>
  <conditionalFormatting sqref="C46">
    <cfRule type="expression" priority="3" aboveAverage="0" equalAverage="0" bottom="0" percent="0" rank="0" text="" dxfId="0">
      <formula>C46&lt;&gt;"keine"</formula>
    </cfRule>
  </conditionalFormatting>
  <conditionalFormatting sqref="D46">
    <cfRule type="expression" priority="4" aboveAverage="0" equalAverage="0" bottom="0" percent="0" rank="0" text="" dxfId="0">
      <formula>D46&lt;&gt;"keine"</formula>
    </cfRule>
  </conditionalFormatting>
  <dataValidations count="14">
    <dataValidation allowBlank="false" error="Bitte einen Wert zwischen 0 und 1e+06 eingeben (Anzahl). Prozentwerte als z. B. 30 %." errorStyle="stop" errorTitle="Unplausible Eingabe" operator="between" showDropDown="false" showErrorMessage="true" showInputMessage="false" sqref="B6:D6" type="whole">
      <formula1>0</formula1>
      <formula2>1000000</formula2>
    </dataValidation>
    <dataValidation allowBlank="false" error="Bitte einen Wert zwischen 0.1 und 600 eingeben (min). Prozentwerte als z. B. 30 %." errorStyle="stop" errorTitle="Unplausible Eingabe" operator="between" showDropDown="false" showErrorMessage="true" showInputMessage="false" sqref="B7:D7" type="decimal">
      <formula1>0.1</formula1>
      <formula2>600</formula2>
    </dataValidation>
    <dataValidation allowBlank="false" error="Bitte einen Wert zwischen 0 und 600 eingeben (min). Prozentwerte als z. B. 30 %." errorStyle="stop" errorTitle="Unplausible Eingabe" operator="between" showDropDown="false" showErrorMessage="true" showInputMessage="false" sqref="B8:D8 B10:D10" type="decimal">
      <formula1>0</formula1>
      <formula2>600</formula2>
    </dataValidation>
    <dataValidation allowBlank="false" error="Bitte einen Wert zwischen 0 und 1 eingeben (%). Prozentwerte als z. B. 30 %." errorStyle="stop" errorTitle="Unplausible Eingabe" operator="between" showDropDown="false" showErrorMessage="true" showInputMessage="false" sqref="B9:D9 B22:D22" type="decimal">
      <formula1>0</formula1>
      <formula2>1</formula2>
    </dataValidation>
    <dataValidation allowBlank="false" error="Bitte einen Wert zwischen 1 und 1000 eingeben (€/h). Prozentwerte als z. B. 30 %." errorStyle="stop" errorTitle="Unplausible Eingabe" operator="between" showDropDown="false" showErrorMessage="true" showInputMessage="false" sqref="B11:D11" type="decimal">
      <formula1>1</formula1>
      <formula2>1000</formula2>
    </dataValidation>
    <dataValidation allowBlank="false" error="Bitte einen Wert zwischen 0 und 100 eingeben (€). Prozentwerte als z. B. 30 %." errorStyle="stop" errorTitle="Unplausible Eingabe" operator="between" showDropDown="false" showErrorMessage="true" showInputMessage="false" sqref="B12:D12" type="decimal">
      <formula1>0</formula1>
      <formula2>100</formula2>
    </dataValidation>
    <dataValidation allowBlank="false" error="Bitte einen Wert zwischen 0 und 1e+06 eingeben (€/Monat). Prozentwerte als z. B. 30 %." errorStyle="stop" errorTitle="Unplausible Eingabe" operator="between" showDropDown="false" showErrorMessage="true" showInputMessage="false" sqref="B13:D13 B23:D23" type="decimal">
      <formula1>0</formula1>
      <formula2>1000000</formula2>
    </dataValidation>
    <dataValidation allowBlank="false" error="Bitte einen Wert zwischen 0 und 1000 eingeben (h/Monat). Prozentwerte als z. B. 30 %." errorStyle="stop" errorTitle="Unplausible Eingabe" operator="between" showDropDown="false" showErrorMessage="true" showInputMessage="false" sqref="B14:D14" type="decimal">
      <formula1>0</formula1>
      <formula2>1000</formula2>
    </dataValidation>
    <dataValidation allowBlank="false" error="Bitte einen Wert zwischen 0 und 1000 eingeben (h/Jahr). Prozentwerte als z. B. 30 %." errorStyle="stop" errorTitle="Unplausible Eingabe" operator="between" showDropDown="false" showErrorMessage="true" showInputMessage="false" sqref="B15:D15" type="decimal">
      <formula1>0</formula1>
      <formula2>1000</formula2>
    </dataValidation>
    <dataValidation allowBlank="false" error="Bitte einen Wert zwischen 0 und 10000 eingeben (h). Prozentwerte als z. B. 30 %." errorStyle="stop" errorTitle="Unplausible Eingabe" operator="between" showDropDown="false" showErrorMessage="true" showInputMessage="false" sqref="B16:D16" type="decimal">
      <formula1>0</formula1>
      <formula2>10000</formula2>
    </dataValidation>
    <dataValidation allowBlank="false" error="Bitte einen Wert zwischen 0 und 1000 eingeben (€/h). Prozentwerte als z. B. 30 %." errorStyle="stop" errorTitle="Unplausible Eingabe" operator="between" showDropDown="false" showErrorMessage="true" showInputMessage="false" sqref="B17:D17" type="decimal">
      <formula1>0</formula1>
      <formula2>1000</formula2>
    </dataValidation>
    <dataValidation allowBlank="false" error="Bitte einen Wert zwischen 0 und 1e+06 eingeben (€). Prozentwerte als z. B. 30 %." errorStyle="stop" errorTitle="Unplausible Eingabe" operator="between" showDropDown="false" showErrorMessage="true" showInputMessage="false" sqref="B18:D19" type="decimal">
      <formula1>0</formula1>
      <formula2>1000000</formula2>
    </dataValidation>
    <dataValidation allowBlank="false" error="Bitte einen Wert zwischen 0 und 10000 eingeben (h gesamt). Prozentwerte als z. B. 30 %." errorStyle="stop" errorTitle="Unplausible Eingabe" operator="between" showDropDown="false" showErrorMessage="true" showInputMessage="false" sqref="B20:D21" type="decimal">
      <formula1>0</formula1>
      <formula2>10000</formula2>
    </dataValidation>
    <dataValidation allowBlank="false" error="Bitte einen Wert zwischen 1 und 120 eingeben (Monate). Prozentwerte als z. B. 30 %." errorStyle="stop" errorTitle="Unplausible Eingabe" operator="between" showDropDown="false" showErrorMessage="true" showInputMessage="false" sqref="B24:D24" type="whole">
      <formula1>1</formula1>
      <formula2>120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9" width="110"/>
  </cols>
  <sheetData>
    <row r="1" customFormat="false" ht="17.25" hidden="false" customHeight="true" outlineLevel="0" collapsed="false">
      <c r="A1" s="30" t="s">
        <v>110</v>
      </c>
    </row>
    <row r="2" customFormat="false" ht="15" hidden="false" customHeight="true" outlineLevel="0" collapsed="false">
      <c r="A2" s="31" t="s">
        <v>111</v>
      </c>
    </row>
    <row r="3" customFormat="false" ht="15" hidden="false" customHeight="true" outlineLevel="0" collapsed="false">
      <c r="A3" s="31"/>
    </row>
    <row r="4" customFormat="false" ht="15" hidden="false" customHeight="true" outlineLevel="0" collapsed="false">
      <c r="A4" s="32" t="s">
        <v>112</v>
      </c>
    </row>
    <row r="5" customFormat="false" ht="15" hidden="false" customHeight="true" outlineLevel="0" collapsed="false">
      <c r="A5" s="31" t="s">
        <v>113</v>
      </c>
    </row>
    <row r="6" customFormat="false" ht="15" hidden="false" customHeight="true" outlineLevel="0" collapsed="false">
      <c r="A6" s="31" t="s">
        <v>114</v>
      </c>
    </row>
    <row r="7" customFormat="false" ht="15" hidden="false" customHeight="true" outlineLevel="0" collapsed="false">
      <c r="A7" s="31"/>
    </row>
    <row r="8" customFormat="false" ht="15" hidden="false" customHeight="true" outlineLevel="0" collapsed="false">
      <c r="A8" s="32" t="s">
        <v>115</v>
      </c>
    </row>
    <row r="9" customFormat="false" ht="15" hidden="false" customHeight="true" outlineLevel="0" collapsed="false">
      <c r="A9" s="31" t="s">
        <v>116</v>
      </c>
    </row>
    <row r="10" customFormat="false" ht="15" hidden="false" customHeight="true" outlineLevel="0" collapsed="false">
      <c r="A10" s="31" t="s">
        <v>117</v>
      </c>
    </row>
    <row r="11" customFormat="false" ht="15" hidden="false" customHeight="true" outlineLevel="0" collapsed="false">
      <c r="A11" s="31" t="s">
        <v>118</v>
      </c>
    </row>
    <row r="12" customFormat="false" ht="15" hidden="false" customHeight="true" outlineLevel="0" collapsed="false">
      <c r="A12" s="31" t="s">
        <v>119</v>
      </c>
    </row>
    <row r="13" customFormat="false" ht="15" hidden="false" customHeight="true" outlineLevel="0" collapsed="false">
      <c r="A13" s="31" t="s">
        <v>120</v>
      </c>
    </row>
    <row r="14" customFormat="false" ht="15" hidden="false" customHeight="true" outlineLevel="0" collapsed="false">
      <c r="A14" s="31" t="s">
        <v>121</v>
      </c>
    </row>
    <row r="15" customFormat="false" ht="15" hidden="false" customHeight="true" outlineLevel="0" collapsed="false">
      <c r="A15" s="31" t="s">
        <v>122</v>
      </c>
    </row>
    <row r="16" customFormat="false" ht="15" hidden="false" customHeight="true" outlineLevel="0" collapsed="false">
      <c r="A16" s="31" t="s">
        <v>123</v>
      </c>
    </row>
    <row r="17" customFormat="false" ht="15" hidden="false" customHeight="true" outlineLevel="0" collapsed="false">
      <c r="A17" s="31" t="s">
        <v>124</v>
      </c>
    </row>
    <row r="18" customFormat="false" ht="15" hidden="false" customHeight="true" outlineLevel="0" collapsed="false">
      <c r="A18" s="31" t="s">
        <v>125</v>
      </c>
    </row>
    <row r="19" customFormat="false" ht="15" hidden="false" customHeight="true" outlineLevel="0" collapsed="false">
      <c r="A19" s="31" t="s">
        <v>126</v>
      </c>
    </row>
    <row r="20" customFormat="false" ht="15" hidden="false" customHeight="true" outlineLevel="0" collapsed="false">
      <c r="A20" s="31" t="s">
        <v>127</v>
      </c>
    </row>
    <row r="21" customFormat="false" ht="15" hidden="false" customHeight="true" outlineLevel="0" collapsed="false">
      <c r="A21" s="31" t="s">
        <v>128</v>
      </c>
    </row>
    <row r="22" customFormat="false" ht="34.5" hidden="false" customHeight="true" outlineLevel="0" collapsed="false">
      <c r="A22" s="31" t="s">
        <v>129</v>
      </c>
    </row>
    <row r="23" customFormat="false" ht="15" hidden="false" customHeight="true" outlineLevel="0" collapsed="false">
      <c r="A23" s="31"/>
    </row>
    <row r="24" customFormat="false" ht="15" hidden="false" customHeight="true" outlineLevel="0" collapsed="false">
      <c r="A24" s="32" t="s">
        <v>130</v>
      </c>
    </row>
    <row r="25" customFormat="false" ht="15" hidden="false" customHeight="true" outlineLevel="0" collapsed="false">
      <c r="A25" s="31" t="s">
        <v>131</v>
      </c>
    </row>
    <row r="26" customFormat="false" ht="15" hidden="false" customHeight="true" outlineLevel="0" collapsed="false">
      <c r="A26" s="31" t="s">
        <v>132</v>
      </c>
    </row>
    <row r="27" customFormat="false" ht="15" hidden="false" customHeight="true" outlineLevel="0" collapsed="false">
      <c r="A27" s="31" t="s">
        <v>133</v>
      </c>
    </row>
    <row r="28" customFormat="false" ht="23.25" hidden="false" customHeight="true" outlineLevel="0" collapsed="false">
      <c r="A28" s="31" t="s">
        <v>134</v>
      </c>
    </row>
    <row r="29" customFormat="false" ht="23.25" hidden="false" customHeight="true" outlineLevel="0" collapsed="false">
      <c r="A29" s="31" t="s">
        <v>135</v>
      </c>
    </row>
    <row r="30" customFormat="false" ht="23.25" hidden="false" customHeight="true" outlineLevel="0" collapsed="false">
      <c r="A30" s="31" t="s">
        <v>136</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9" width="52"/>
    <col collapsed="false" customWidth="true" hidden="false" outlineLevel="0" max="2" min="2" style="29" width="14"/>
    <col collapsed="false" customWidth="true" hidden="false" outlineLevel="0" max="3" min="3" style="29" width="22"/>
    <col collapsed="false" customWidth="true" hidden="false" outlineLevel="0" max="4" min="4" style="29" width="90"/>
  </cols>
  <sheetData>
    <row r="1" customFormat="false" ht="17.25" hidden="false" customHeight="true" outlineLevel="0" collapsed="false">
      <c r="A1" s="33" t="s">
        <v>137</v>
      </c>
    </row>
    <row r="3" customFormat="false" ht="15" hidden="false" customHeight="true" outlineLevel="0" collapsed="false">
      <c r="A3" s="34" t="s">
        <v>138</v>
      </c>
      <c r="B3" s="34" t="s">
        <v>139</v>
      </c>
      <c r="C3" s="34" t="s">
        <v>23</v>
      </c>
      <c r="D3" s="34" t="s">
        <v>140</v>
      </c>
    </row>
    <row r="4" customFormat="false" ht="15" hidden="false" customHeight="true" outlineLevel="0" collapsed="false">
      <c r="A4" s="35" t="s">
        <v>141</v>
      </c>
      <c r="B4" s="36" t="n">
        <v>1.15</v>
      </c>
      <c r="C4" s="35" t="s">
        <v>142</v>
      </c>
      <c r="D4" s="37" t="s">
        <v>143</v>
      </c>
    </row>
    <row r="5" customFormat="false" ht="23.25" hidden="false" customHeight="true" outlineLevel="0" collapsed="false">
      <c r="A5" s="35" t="s">
        <v>144</v>
      </c>
      <c r="B5" s="38" t="n">
        <v>0.5</v>
      </c>
      <c r="C5" s="35" t="s">
        <v>145</v>
      </c>
      <c r="D5" s="37" t="s">
        <v>146</v>
      </c>
    </row>
    <row r="6" customFormat="false" ht="45.75" hidden="false" customHeight="true" outlineLevel="0" collapsed="false">
      <c r="A6" s="35" t="s">
        <v>38</v>
      </c>
      <c r="B6" s="39" t="n">
        <v>45</v>
      </c>
      <c r="C6" s="35" t="s">
        <v>147</v>
      </c>
      <c r="D6" s="37" t="s">
        <v>148</v>
      </c>
    </row>
    <row r="7" customFormat="false" ht="15" hidden="false" customHeight="true" outlineLevel="0" collapsed="false">
      <c r="A7" s="35" t="s">
        <v>149</v>
      </c>
      <c r="B7" s="40" t="n">
        <v>21</v>
      </c>
      <c r="C7" s="35" t="s">
        <v>150</v>
      </c>
      <c r="D7" s="37" t="s">
        <v>151</v>
      </c>
    </row>
    <row r="8" customFormat="false" ht="23.25" hidden="false" customHeight="true" outlineLevel="0" collapsed="false">
      <c r="A8" s="35" t="s">
        <v>152</v>
      </c>
      <c r="B8" s="41" t="n">
        <v>1.6</v>
      </c>
      <c r="C8" s="35" t="s">
        <v>153</v>
      </c>
      <c r="D8" s="37" t="s">
        <v>154</v>
      </c>
    </row>
    <row r="9" customFormat="false" ht="15" hidden="false" customHeight="true" outlineLevel="0" collapsed="false">
      <c r="A9" s="35" t="s">
        <v>155</v>
      </c>
      <c r="B9" s="40" t="n">
        <v>350</v>
      </c>
      <c r="C9" s="35" t="s">
        <v>156</v>
      </c>
      <c r="D9" s="37" t="s">
        <v>151</v>
      </c>
    </row>
    <row r="10" customFormat="false" ht="15" hidden="false" customHeight="true" outlineLevel="0" collapsed="false">
      <c r="A10" s="35" t="s">
        <v>157</v>
      </c>
      <c r="B10" s="40" t="n">
        <v>100</v>
      </c>
      <c r="C10" s="35" t="s">
        <v>153</v>
      </c>
      <c r="D10" s="37" t="s">
        <v>151</v>
      </c>
    </row>
    <row r="11" customFormat="false" ht="23.25" hidden="false" customHeight="true" outlineLevel="0" collapsed="false">
      <c r="A11" s="35" t="s">
        <v>158</v>
      </c>
      <c r="B11" s="38" t="n">
        <v>1.3</v>
      </c>
      <c r="C11" s="35" t="s">
        <v>145</v>
      </c>
      <c r="D11" s="37" t="s">
        <v>159</v>
      </c>
    </row>
    <row r="12" customFormat="false" ht="15" hidden="false" customHeight="true" outlineLevel="0" collapsed="false">
      <c r="A12" s="35" t="s">
        <v>160</v>
      </c>
      <c r="B12" s="42" t="n">
        <v>0.3</v>
      </c>
      <c r="C12" s="35" t="s">
        <v>34</v>
      </c>
      <c r="D12" s="37" t="s">
        <v>151</v>
      </c>
    </row>
    <row r="13" customFormat="false" ht="34.5" hidden="false" customHeight="true" outlineLevel="0" collapsed="false">
      <c r="A13" s="35" t="s">
        <v>161</v>
      </c>
      <c r="B13" s="43" t="n">
        <v>0.006</v>
      </c>
      <c r="C13" s="35" t="s">
        <v>162</v>
      </c>
      <c r="D13" s="37" t="s">
        <v>163</v>
      </c>
    </row>
    <row r="14" customFormat="false" ht="23.25" hidden="false" customHeight="true" outlineLevel="0" collapsed="false">
      <c r="A14" s="35" t="s">
        <v>164</v>
      </c>
      <c r="B14" s="44" t="n">
        <v>20</v>
      </c>
      <c r="C14" s="35" t="s">
        <v>165</v>
      </c>
      <c r="D14" s="37" t="s">
        <v>166</v>
      </c>
    </row>
    <row r="15" customFormat="false" ht="15" hidden="false" customHeight="true" outlineLevel="0" collapsed="false">
      <c r="A15" s="35" t="s">
        <v>167</v>
      </c>
      <c r="B15" s="44" t="n">
        <v>20</v>
      </c>
      <c r="C15" s="35" t="s">
        <v>165</v>
      </c>
      <c r="D15" s="37" t="s">
        <v>168</v>
      </c>
    </row>
    <row r="16" customFormat="false" ht="23.25" hidden="false" customHeight="true" outlineLevel="0" collapsed="false">
      <c r="A16" s="35" t="s">
        <v>169</v>
      </c>
      <c r="B16" s="44" t="n">
        <v>20</v>
      </c>
      <c r="C16" s="35" t="s">
        <v>165</v>
      </c>
      <c r="D16" s="37" t="s">
        <v>170</v>
      </c>
    </row>
    <row r="17" customFormat="false" ht="15" hidden="false" customHeight="true" outlineLevel="0" collapsed="false">
      <c r="A17" s="35" t="s">
        <v>171</v>
      </c>
      <c r="B17" s="44" t="n">
        <v>500</v>
      </c>
      <c r="C17" s="35" t="s">
        <v>172</v>
      </c>
      <c r="D17" s="37" t="s">
        <v>173</v>
      </c>
    </row>
    <row r="18" customFormat="false" ht="23.25" hidden="false" customHeight="true" outlineLevel="0" collapsed="false">
      <c r="A18" s="35" t="s">
        <v>174</v>
      </c>
      <c r="B18" s="45" t="n">
        <v>18.2</v>
      </c>
      <c r="C18" s="35" t="s">
        <v>175</v>
      </c>
      <c r="D18" s="37" t="s">
        <v>176</v>
      </c>
    </row>
    <row r="19" customFormat="false" ht="15" hidden="false" customHeight="true" outlineLevel="0" collapsed="false">
      <c r="A19" s="35" t="s">
        <v>177</v>
      </c>
      <c r="B19" s="44" t="n">
        <v>100</v>
      </c>
      <c r="C19" s="35" t="s">
        <v>165</v>
      </c>
      <c r="D19" s="37" t="s">
        <v>178</v>
      </c>
    </row>
    <row r="20" customFormat="false" ht="23.25" hidden="false" customHeight="true" outlineLevel="0" collapsed="false">
      <c r="A20" s="35" t="s">
        <v>179</v>
      </c>
      <c r="B20" s="46" t="n">
        <v>1000</v>
      </c>
      <c r="C20" s="35" t="s">
        <v>153</v>
      </c>
      <c r="D20" s="37" t="s">
        <v>180</v>
      </c>
    </row>
    <row r="21" customFormat="false" ht="15" hidden="false" customHeight="true" outlineLevel="0" collapsed="false">
      <c r="A21" s="35" t="s">
        <v>181</v>
      </c>
      <c r="B21" s="47" t="n">
        <v>0.3</v>
      </c>
      <c r="C21" s="35" t="s">
        <v>182</v>
      </c>
      <c r="D21" s="37" t="s">
        <v>183</v>
      </c>
    </row>
    <row r="22" customFormat="false" ht="15" hidden="false" customHeight="true" outlineLevel="0" collapsed="false">
      <c r="A22" s="35" t="s">
        <v>184</v>
      </c>
      <c r="B22" s="39" t="n">
        <v>100</v>
      </c>
      <c r="C22" s="35" t="s">
        <v>147</v>
      </c>
      <c r="D22" s="37" t="s">
        <v>185</v>
      </c>
    </row>
    <row r="23" customFormat="false" ht="15" hidden="false" customHeight="true" outlineLevel="0" collapsed="false">
      <c r="A23" s="35" t="s">
        <v>71</v>
      </c>
      <c r="B23" s="40" t="n">
        <v>24</v>
      </c>
      <c r="C23" s="35" t="s">
        <v>72</v>
      </c>
      <c r="D23" s="37" t="s">
        <v>186</v>
      </c>
    </row>
    <row r="24" customFormat="false" ht="15" hidden="false" customHeight="true" outlineLevel="0" collapsed="false">
      <c r="A24" s="35" t="s">
        <v>187</v>
      </c>
      <c r="B24" s="38" t="n">
        <v>1.5</v>
      </c>
      <c r="C24" s="35" t="s">
        <v>145</v>
      </c>
      <c r="D24" s="37" t="s">
        <v>188</v>
      </c>
    </row>
    <row r="25" customFormat="false" ht="15" hidden="false" customHeight="true" outlineLevel="0" collapsed="false">
      <c r="A25" s="35" t="s">
        <v>189</v>
      </c>
      <c r="B25" s="43" t="n">
        <v>1.05</v>
      </c>
      <c r="C25" s="35" t="s">
        <v>142</v>
      </c>
      <c r="D25" s="37" t="s">
        <v>190</v>
      </c>
    </row>
    <row r="26" customFormat="false" ht="23.25" hidden="false" customHeight="true" outlineLevel="0" collapsed="false">
      <c r="A26" s="35" t="s">
        <v>191</v>
      </c>
      <c r="B26" s="42" t="n">
        <v>0.19</v>
      </c>
      <c r="C26" s="35" t="s">
        <v>34</v>
      </c>
      <c r="D26" s="37" t="s">
        <v>192</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9" width="30"/>
    <col collapsed="false" customWidth="true" hidden="false" outlineLevel="0" max="3" min="2" style="29" width="10"/>
    <col collapsed="false" customWidth="true" hidden="false" outlineLevel="0" max="5" min="4" style="29" width="13"/>
    <col collapsed="false" customWidth="true" hidden="false" outlineLevel="0" max="7" min="6" style="29" width="12"/>
    <col collapsed="false" customWidth="true" hidden="false" outlineLevel="0" max="8" min="8" style="29" width="70"/>
  </cols>
  <sheetData>
    <row r="1" customFormat="false" ht="17.25" hidden="false" customHeight="true" outlineLevel="0" collapsed="false">
      <c r="A1" s="33" t="s">
        <v>193</v>
      </c>
    </row>
    <row r="2" customFormat="false" ht="15" hidden="false" customHeight="true" outlineLevel="0" collapsed="false">
      <c r="A2" s="48" t="s">
        <v>194</v>
      </c>
    </row>
    <row r="4" customFormat="false" ht="34.5" hidden="false" customHeight="true" outlineLevel="0" collapsed="false">
      <c r="A4" s="34" t="s">
        <v>195</v>
      </c>
      <c r="B4" s="34" t="s">
        <v>196</v>
      </c>
      <c r="C4" s="34" t="s">
        <v>197</v>
      </c>
      <c r="D4" s="34" t="s">
        <v>198</v>
      </c>
      <c r="E4" s="34" t="s">
        <v>199</v>
      </c>
      <c r="F4" s="34" t="s">
        <v>200</v>
      </c>
      <c r="G4" s="34" t="s">
        <v>201</v>
      </c>
      <c r="H4" s="34" t="s">
        <v>202</v>
      </c>
    </row>
    <row r="5" customFormat="false" ht="15" hidden="false" customHeight="true" outlineLevel="0" collapsed="false">
      <c r="A5" s="49" t="s">
        <v>203</v>
      </c>
      <c r="B5" s="50" t="n">
        <v>0.1</v>
      </c>
      <c r="C5" s="50" t="n">
        <v>0.5</v>
      </c>
      <c r="D5" s="50" t="n">
        <v>0.125</v>
      </c>
      <c r="E5" s="50" t="n">
        <v>0.2</v>
      </c>
      <c r="F5" s="50" t="n">
        <v>0.01</v>
      </c>
      <c r="G5" s="49" t="s">
        <v>204</v>
      </c>
      <c r="H5" s="51" t="s">
        <v>205</v>
      </c>
    </row>
    <row r="6" customFormat="false" ht="23.25" hidden="false" customHeight="true" outlineLevel="0" collapsed="false">
      <c r="A6" s="49" t="s">
        <v>206</v>
      </c>
      <c r="B6" s="50" t="n">
        <v>0.5</v>
      </c>
      <c r="C6" s="50" t="n">
        <v>2.5</v>
      </c>
      <c r="D6" s="50" t="n">
        <v>0.625</v>
      </c>
      <c r="E6" s="50" t="n">
        <v>1</v>
      </c>
      <c r="F6" s="50" t="n">
        <v>0.05</v>
      </c>
      <c r="G6" s="49" t="s">
        <v>204</v>
      </c>
      <c r="H6" s="51" t="s">
        <v>207</v>
      </c>
    </row>
    <row r="7" customFormat="false" ht="15" hidden="false" customHeight="true" outlineLevel="0" collapsed="false">
      <c r="A7" s="49" t="s">
        <v>208</v>
      </c>
      <c r="B7" s="50" t="n">
        <v>2</v>
      </c>
      <c r="C7" s="50" t="n">
        <v>10</v>
      </c>
      <c r="D7" s="50" t="n">
        <v>2.5</v>
      </c>
      <c r="E7" s="50" t="n">
        <v>4</v>
      </c>
      <c r="F7" s="50" t="n">
        <v>0.1</v>
      </c>
      <c r="G7" s="49" t="s">
        <v>204</v>
      </c>
      <c r="H7" s="51"/>
    </row>
    <row r="8" customFormat="false" ht="15" hidden="false" customHeight="true" outlineLevel="0" collapsed="false">
      <c r="A8" s="49" t="s">
        <v>209</v>
      </c>
      <c r="B8" s="50" t="n">
        <v>4</v>
      </c>
      <c r="C8" s="50" t="n">
        <v>20</v>
      </c>
      <c r="D8" s="50" t="n">
        <v>5</v>
      </c>
      <c r="E8" s="50" t="n">
        <v>8</v>
      </c>
      <c r="F8" s="50" t="n">
        <v>0.2</v>
      </c>
      <c r="G8" s="49" t="s">
        <v>204</v>
      </c>
      <c r="H8" s="51"/>
    </row>
    <row r="9" customFormat="false" ht="15" hidden="false" customHeight="true" outlineLevel="0" collapsed="false">
      <c r="A9" s="49" t="s">
        <v>210</v>
      </c>
      <c r="B9" s="50" t="n">
        <v>10</v>
      </c>
      <c r="C9" s="50" t="n">
        <v>50</v>
      </c>
      <c r="D9" s="50" t="n">
        <v>12.5</v>
      </c>
      <c r="E9" s="50" t="n">
        <v>20</v>
      </c>
      <c r="F9" s="50" t="n">
        <v>0.25</v>
      </c>
      <c r="G9" s="49" t="s">
        <v>204</v>
      </c>
      <c r="H9" s="51" t="s">
        <v>211</v>
      </c>
    </row>
    <row r="10" customFormat="false" ht="23.25" hidden="false" customHeight="true" outlineLevel="0" collapsed="false">
      <c r="A10" s="49" t="s">
        <v>212</v>
      </c>
      <c r="B10" s="50" t="n">
        <v>3</v>
      </c>
      <c r="C10" s="50" t="n">
        <v>15</v>
      </c>
      <c r="D10" s="50" t="n">
        <v>3.75</v>
      </c>
      <c r="E10" s="50" t="n">
        <v>6</v>
      </c>
      <c r="F10" s="50" t="n">
        <v>0.3</v>
      </c>
      <c r="G10" s="49" t="s">
        <v>213</v>
      </c>
      <c r="H10" s="51" t="s">
        <v>214</v>
      </c>
    </row>
    <row r="11" customFormat="false" ht="15" hidden="false" customHeight="true" outlineLevel="0" collapsed="false">
      <c r="A11" s="49" t="s">
        <v>215</v>
      </c>
      <c r="B11" s="50" t="n">
        <v>1</v>
      </c>
      <c r="C11" s="50" t="n">
        <v>5</v>
      </c>
      <c r="D11" s="50" t="n">
        <v>1.25</v>
      </c>
      <c r="E11" s="50" t="n">
        <v>2</v>
      </c>
      <c r="F11" s="50" t="n">
        <v>0.1</v>
      </c>
      <c r="G11" s="49" t="s">
        <v>213</v>
      </c>
      <c r="H11" s="51" t="s">
        <v>216</v>
      </c>
    </row>
    <row r="12" customFormat="false" ht="34.5" hidden="false" customHeight="true" outlineLevel="0" collapsed="false">
      <c r="A12" s="49" t="s">
        <v>217</v>
      </c>
      <c r="B12" s="50" t="n">
        <v>0.1</v>
      </c>
      <c r="C12" s="50" t="n">
        <v>0.5</v>
      </c>
      <c r="D12" s="50" t="n">
        <v>0.125</v>
      </c>
      <c r="E12" s="50" t="n">
        <v>0</v>
      </c>
      <c r="F12" s="50" t="n">
        <v>0.01</v>
      </c>
      <c r="G12" s="49" t="s">
        <v>218</v>
      </c>
      <c r="H12" s="51" t="s">
        <v>219</v>
      </c>
    </row>
    <row r="13" customFormat="false" ht="15" hidden="false" customHeight="true" outlineLevel="0" collapsed="false">
      <c r="A13" s="49" t="s">
        <v>220</v>
      </c>
      <c r="B13" s="50" t="n">
        <v>0.2</v>
      </c>
      <c r="C13" s="50" t="n">
        <v>0.75</v>
      </c>
      <c r="D13" s="50" t="n">
        <v>0.25</v>
      </c>
      <c r="E13" s="50" t="n">
        <v>0</v>
      </c>
      <c r="F13" s="50" t="n">
        <v>0.02</v>
      </c>
      <c r="G13" s="49" t="s">
        <v>218</v>
      </c>
      <c r="H13" s="51" t="s">
        <v>221</v>
      </c>
    </row>
    <row r="14" customFormat="false" ht="23.25" hidden="false" customHeight="true" outlineLevel="0" collapsed="false">
      <c r="A14" s="49" t="s">
        <v>222</v>
      </c>
      <c r="B14" s="50" t="n">
        <v>2</v>
      </c>
      <c r="C14" s="50" t="n">
        <v>10</v>
      </c>
      <c r="D14" s="50" t="n">
        <v>2.5</v>
      </c>
      <c r="E14" s="50" t="n">
        <v>0</v>
      </c>
      <c r="F14" s="50" t="n">
        <v>0.1</v>
      </c>
      <c r="G14" s="49" t="s">
        <v>218</v>
      </c>
      <c r="H14" s="51" t="s">
        <v>223</v>
      </c>
    </row>
    <row r="15" customFormat="false" ht="15" hidden="false" customHeight="true" outlineLevel="0" collapsed="false">
      <c r="A15" s="49" t="s">
        <v>224</v>
      </c>
      <c r="B15" s="50" t="n">
        <v>4</v>
      </c>
      <c r="C15" s="50" t="n">
        <v>15</v>
      </c>
      <c r="D15" s="50" t="n">
        <v>5</v>
      </c>
      <c r="E15" s="50" t="n">
        <v>0</v>
      </c>
      <c r="F15" s="50" t="n">
        <v>0.2</v>
      </c>
      <c r="G15" s="49" t="s">
        <v>218</v>
      </c>
      <c r="H15" s="51" t="s">
        <v>225</v>
      </c>
    </row>
    <row r="16" customFormat="false" ht="15" hidden="false" customHeight="true" outlineLevel="0" collapsed="false">
      <c r="A16" s="52" t="s">
        <v>226</v>
      </c>
      <c r="B16" s="50" t="n">
        <v>0</v>
      </c>
      <c r="C16" s="50" t="n">
        <v>0</v>
      </c>
      <c r="D16" s="50" t="n">
        <v>0</v>
      </c>
      <c r="E16" s="50" t="n">
        <v>0</v>
      </c>
      <c r="F16" s="50" t="n">
        <v>0</v>
      </c>
      <c r="G16" s="49"/>
      <c r="H16" s="51" t="s">
        <v>227</v>
      </c>
    </row>
    <row r="17" customFormat="false" ht="15" hidden="false" customHeight="true" outlineLevel="0" collapsed="false">
      <c r="A17" s="52" t="s">
        <v>228</v>
      </c>
      <c r="B17" s="50" t="n">
        <v>0</v>
      </c>
      <c r="C17" s="50" t="n">
        <v>0</v>
      </c>
      <c r="D17" s="50" t="n">
        <v>0</v>
      </c>
      <c r="E17" s="50" t="n">
        <v>0</v>
      </c>
      <c r="F17" s="50" t="n">
        <v>0</v>
      </c>
      <c r="G17" s="49"/>
      <c r="H17" s="51" t="s">
        <v>227</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9" width="46"/>
    <col collapsed="false" customWidth="true" hidden="false" outlineLevel="0" max="2" min="2" style="29" width="22"/>
    <col collapsed="false" customWidth="true" hidden="false" outlineLevel="0" max="3" min="3" style="29" width="60"/>
  </cols>
  <sheetData>
    <row r="1" customFormat="false" ht="17.25" hidden="false" customHeight="true" outlineLevel="0" collapsed="false">
      <c r="A1" s="33" t="s">
        <v>229</v>
      </c>
    </row>
    <row r="2" customFormat="false" ht="15" hidden="false" customHeight="true" outlineLevel="0" collapsed="false">
      <c r="A2" s="48" t="s">
        <v>230</v>
      </c>
    </row>
    <row r="4" customFormat="false" ht="15" hidden="false" customHeight="true" outlineLevel="0" collapsed="false">
      <c r="A4" s="35" t="s">
        <v>195</v>
      </c>
      <c r="B4" s="52" t="s">
        <v>208</v>
      </c>
      <c r="C4" s="53" t="s">
        <v>231</v>
      </c>
    </row>
    <row r="5" customFormat="false" ht="15" hidden="false" customHeight="true" outlineLevel="0" collapsed="false">
      <c r="A5" s="35" t="s">
        <v>232</v>
      </c>
      <c r="B5" s="40" t="n">
        <v>3000</v>
      </c>
      <c r="C5" s="53" t="s">
        <v>233</v>
      </c>
    </row>
    <row r="6" customFormat="false" ht="15" hidden="false" customHeight="true" outlineLevel="0" collapsed="false">
      <c r="A6" s="35" t="s">
        <v>234</v>
      </c>
      <c r="B6" s="40" t="n">
        <v>0</v>
      </c>
      <c r="C6" s="53" t="s">
        <v>235</v>
      </c>
    </row>
    <row r="7" customFormat="false" ht="15" hidden="false" customHeight="true" outlineLevel="0" collapsed="false">
      <c r="A7" s="35" t="s">
        <v>236</v>
      </c>
      <c r="B7" s="40" t="n">
        <v>0</v>
      </c>
      <c r="C7" s="53" t="s">
        <v>237</v>
      </c>
    </row>
    <row r="8" customFormat="false" ht="15" hidden="false" customHeight="true" outlineLevel="0" collapsed="false">
      <c r="A8" s="35" t="s">
        <v>238</v>
      </c>
      <c r="B8" s="40" t="n">
        <v>0</v>
      </c>
      <c r="C8" s="53" t="s">
        <v>239</v>
      </c>
    </row>
    <row r="9" customFormat="false" ht="15" hidden="false" customHeight="true" outlineLevel="0" collapsed="false">
      <c r="A9" s="35" t="s">
        <v>240</v>
      </c>
      <c r="B9" s="40" t="n">
        <v>500</v>
      </c>
      <c r="C9" s="53" t="s">
        <v>241</v>
      </c>
    </row>
    <row r="10" customFormat="false" ht="15" hidden="false" customHeight="true" outlineLevel="0" collapsed="false">
      <c r="A10" s="35" t="s">
        <v>242</v>
      </c>
      <c r="B10" s="40" t="n">
        <v>1000</v>
      </c>
      <c r="C10" s="53"/>
    </row>
    <row r="11" customFormat="false" ht="15" hidden="false" customHeight="true" outlineLevel="0" collapsed="false">
      <c r="A11" s="35" t="s">
        <v>243</v>
      </c>
      <c r="B11" s="52" t="s">
        <v>244</v>
      </c>
      <c r="C11" s="53" t="s">
        <v>245</v>
      </c>
    </row>
    <row r="12" customFormat="false" ht="15" hidden="false" customHeight="true" outlineLevel="0" collapsed="false">
      <c r="A12" s="54" t="s">
        <v>246</v>
      </c>
      <c r="B12" s="35" t="str">
        <f aca="false">IF(AND(B4="Claude Haiku 5.5",B5+B6+B7+B8&gt;100000),"Claude Haiku 5.5 &gt;100k",IF(AND(B4="GPT-6 Luna",B5+B6+B7+B8&gt;272000),"GPT-6 Luna &gt;272k",IF(AND(B4="GPT-6.1 Sol",B5+B6+B7+B8&gt;272000),"GPT-6.1 Sol &gt;272k",B4)))</f>
        <v>Claude Sonnet 5.5</v>
      </c>
    </row>
    <row r="13" customFormat="false" ht="15" hidden="false" customHeight="true" outlineLevel="0" collapsed="false">
      <c r="A13" s="54" t="s">
        <v>247</v>
      </c>
      <c r="B13" s="55" t="n">
        <f aca="false">(B5*INDEX(Preise!$B$5:$B$17,MATCH(B12,Preise!$A$5:$A$17,0))+B6*INDEX(Preise!$D$5:$D$17,MATCH(B12,Preise!$A$5:$A$17,0))+B7*INDEX(Preise!$E$5:$E$17,MATCH(B12,Preise!$A$5:$A$17,0))+B8*INDEX(Preise!$F$5:$F$17,MATCH(B12,Preise!$A$5:$A$17,0))+(B9+B19)*INDEX(Preise!$C$5:$C$17,MATCH(B12,Preise!$A$5:$A$17,0)))/1000000*IF(B11="Ja",Batchfaktor,1)</f>
        <v>0.011</v>
      </c>
    </row>
    <row r="14" customFormat="false" ht="15" hidden="false" customHeight="true" outlineLevel="0" collapsed="false">
      <c r="A14" s="54" t="s">
        <v>248</v>
      </c>
      <c r="B14" s="56" t="n">
        <f aca="false">B13/USD_je_EUR</f>
        <v>0.00956521739130435</v>
      </c>
    </row>
    <row r="15" customFormat="false" ht="15" hidden="false" customHeight="true" outlineLevel="0" collapsed="false">
      <c r="A15" s="54" t="s">
        <v>249</v>
      </c>
      <c r="B15" s="57" t="n">
        <f aca="false">B14*B10</f>
        <v>9.56521739130435</v>
      </c>
    </row>
    <row r="16" customFormat="false" ht="15" hidden="false" customHeight="true" outlineLevel="0" collapsed="false">
      <c r="A16" s="54" t="s">
        <v>250</v>
      </c>
      <c r="B16" s="58" t="n">
        <f aca="false">IF(B13=0,0,(B9+B19)*INDEX(Preise!$C$5:$C$17,MATCH(B12,Preise!$A$5:$A$17,0))/1000000*IF(B11="Ja",Batchfaktor,1)/B13)</f>
        <v>0.454545454545455</v>
      </c>
    </row>
    <row r="17" customFormat="false" ht="15" hidden="false" customHeight="true" outlineLevel="0" collapsed="false">
      <c r="A17" s="54" t="s">
        <v>202</v>
      </c>
      <c r="B17" s="35" t="str">
        <f aca="false">IF(B12&lt;&gt;B4,"Langer Prompt: höhere Preisstufe wird angewendet","")</f>
        <v/>
      </c>
    </row>
    <row r="19" customFormat="false" ht="15" hidden="false" customHeight="true" outlineLevel="0" collapsed="false">
      <c r="A19" s="35" t="s">
        <v>251</v>
      </c>
      <c r="B19" s="40" t="n">
        <v>0</v>
      </c>
      <c r="C19" s="53" t="s">
        <v>252</v>
      </c>
    </row>
  </sheetData>
  <sheetProtection sheet="true" formatColumns="false" formatRows="false"/>
  <dataValidations count="2">
    <dataValidation allowBlank="false" errorStyle="stop" operator="between" showDropDown="false" showErrorMessage="false" showInputMessage="false" sqref="B4" type="list">
      <formula1>Preise!$A$5:$A$17</formula1>
      <formula2>0</formula2>
    </dataValidation>
    <dataValidation allowBlank="false" errorStyle="stop" operator="between" showDropDown="false" showErrorMessage="false" showInputMessage="false" sqref="B11"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29" width="9"/>
    <col collapsed="false" customWidth="true" hidden="false" outlineLevel="0" max="2" min="2" style="29" width="34"/>
    <col collapsed="false" customWidth="true" hidden="false" outlineLevel="0" max="3" min="3" style="29" width="22"/>
    <col collapsed="false" customWidth="true" hidden="false" outlineLevel="0" max="7" min="4" style="29" width="11"/>
    <col collapsed="false" customWidth="true" hidden="false" outlineLevel="0" max="8" min="8" style="29" width="9"/>
    <col collapsed="false" customWidth="true" hidden="false" outlineLevel="0" max="9" min="9" style="29" width="10"/>
    <col collapsed="false" customWidth="true" hidden="false" outlineLevel="0" max="10" min="10" style="29" width="7"/>
    <col collapsed="false" customWidth="true" hidden="false" outlineLevel="0" max="13" min="11" style="29" width="13"/>
    <col collapsed="false" customWidth="true" hidden="false" outlineLevel="0" max="14" min="14" style="29" width="60"/>
  </cols>
  <sheetData>
    <row r="1" customFormat="false" ht="17.25" hidden="false" customHeight="true" outlineLevel="0" collapsed="false">
      <c r="A1" s="33" t="s">
        <v>253</v>
      </c>
    </row>
    <row r="2" customFormat="false" ht="15" hidden="false" customHeight="true" outlineLevel="0" collapsed="false">
      <c r="A2" s="48" t="s">
        <v>254</v>
      </c>
    </row>
    <row r="4" customFormat="false" ht="34.5" hidden="false" customHeight="true" outlineLevel="0" collapsed="false">
      <c r="A4" s="34" t="s">
        <v>255</v>
      </c>
      <c r="B4" s="34" t="s">
        <v>256</v>
      </c>
      <c r="C4" s="34" t="s">
        <v>195</v>
      </c>
      <c r="D4" s="34" t="s">
        <v>257</v>
      </c>
      <c r="E4" s="34" t="s">
        <v>198</v>
      </c>
      <c r="F4" s="34" t="s">
        <v>199</v>
      </c>
      <c r="G4" s="34" t="s">
        <v>200</v>
      </c>
      <c r="H4" s="34" t="s">
        <v>197</v>
      </c>
      <c r="I4" s="34" t="s">
        <v>242</v>
      </c>
      <c r="J4" s="34" t="s">
        <v>258</v>
      </c>
      <c r="K4" s="34" t="s">
        <v>247</v>
      </c>
      <c r="L4" s="34" t="s">
        <v>259</v>
      </c>
      <c r="M4" s="34" t="s">
        <v>249</v>
      </c>
      <c r="N4" s="34" t="s">
        <v>24</v>
      </c>
    </row>
    <row r="5" customFormat="false" ht="15" hidden="false" customHeight="true" outlineLevel="0" collapsed="false">
      <c r="A5" s="35" t="s">
        <v>260</v>
      </c>
      <c r="B5" s="37" t="s">
        <v>261</v>
      </c>
      <c r="C5" s="52" t="s">
        <v>208</v>
      </c>
      <c r="D5" s="40" t="n">
        <v>1200</v>
      </c>
      <c r="E5" s="40" t="n">
        <v>0</v>
      </c>
      <c r="F5" s="40" t="n">
        <v>0</v>
      </c>
      <c r="G5" s="40" t="n">
        <v>0</v>
      </c>
      <c r="H5" s="40" t="n">
        <v>400</v>
      </c>
      <c r="I5" s="40" t="n">
        <v>1</v>
      </c>
      <c r="J5" s="52" t="s">
        <v>244</v>
      </c>
      <c r="K5" s="55" t="n">
        <f aca="false">(D5*INDEX(Preise!$B$5:$B$17,MATCH(C5,Preise!$A$5:$A$17,0))+E5*INDEX(Preise!$D$5:$D$17,MATCH(C5,Preise!$A$5:$A$17,0))+F5*INDEX(Preise!$E$5:$E$17,MATCH(C5,Preise!$A$5:$A$17,0))+G5*INDEX(Preise!$F$5:$F$17,MATCH(C5,Preise!$A$5:$A$17,0))+H5*INDEX(Preise!$C$5:$C$17,MATCH(C5,Preise!$A$5:$A$17,0)))/1000000*IF(J5="Ja",Batchfaktor,1)</f>
        <v>0.0064</v>
      </c>
      <c r="L5" s="59" t="n">
        <f aca="false">K5*I5</f>
        <v>0.0064</v>
      </c>
      <c r="M5" s="60" t="n">
        <f aca="false">L5/USD_je_EUR</f>
        <v>0.00556521739130435</v>
      </c>
      <c r="N5" s="61" t="s">
        <v>262</v>
      </c>
    </row>
    <row r="6" customFormat="false" ht="15" hidden="false" customHeight="true" outlineLevel="0" collapsed="false">
      <c r="A6" s="35" t="s">
        <v>260</v>
      </c>
      <c r="B6" s="37" t="s">
        <v>263</v>
      </c>
      <c r="C6" s="52" t="s">
        <v>208</v>
      </c>
      <c r="D6" s="40" t="n">
        <v>1200</v>
      </c>
      <c r="E6" s="40" t="n">
        <v>0</v>
      </c>
      <c r="F6" s="40" t="n">
        <v>0</v>
      </c>
      <c r="G6" s="40" t="n">
        <v>0</v>
      </c>
      <c r="H6" s="40" t="n">
        <v>400</v>
      </c>
      <c r="I6" s="62" t="n">
        <f aca="false">50*Arbeitstage</f>
        <v>1050</v>
      </c>
      <c r="J6" s="52" t="s">
        <v>244</v>
      </c>
      <c r="K6" s="55" t="n">
        <f aca="false">(D6*INDEX(Preise!$B$5:$B$17,MATCH(C6,Preise!$A$5:$A$17,0))+E6*INDEX(Preise!$D$5:$D$17,MATCH(C6,Preise!$A$5:$A$17,0))+F6*INDEX(Preise!$E$5:$E$17,MATCH(C6,Preise!$A$5:$A$17,0))+G6*INDEX(Preise!$F$5:$F$17,MATCH(C6,Preise!$A$5:$A$17,0))+H6*INDEX(Preise!$C$5:$C$17,MATCH(C6,Preise!$A$5:$A$17,0)))/1000000*IF(J6="Ja",Batchfaktor,1)</f>
        <v>0.0064</v>
      </c>
      <c r="L6" s="59" t="n">
        <f aca="false">K6*I6</f>
        <v>6.72</v>
      </c>
      <c r="M6" s="60" t="n">
        <f aca="false">L6/USD_je_EUR</f>
        <v>5.84347826086957</v>
      </c>
      <c r="N6" s="61" t="s">
        <v>264</v>
      </c>
    </row>
    <row r="7" customFormat="false" ht="15" hidden="false" customHeight="true" outlineLevel="0" collapsed="false">
      <c r="A7" s="35" t="s">
        <v>260</v>
      </c>
      <c r="B7" s="37" t="s">
        <v>265</v>
      </c>
      <c r="C7" s="52" t="s">
        <v>208</v>
      </c>
      <c r="D7" s="40" t="n">
        <v>1200</v>
      </c>
      <c r="E7" s="40" t="n">
        <v>0</v>
      </c>
      <c r="F7" s="40" t="n">
        <v>0</v>
      </c>
      <c r="G7" s="40" t="n">
        <v>0</v>
      </c>
      <c r="H7" s="40" t="n">
        <v>400</v>
      </c>
      <c r="I7" s="62" t="n">
        <f aca="false">2000*Arbeitstage</f>
        <v>42000</v>
      </c>
      <c r="J7" s="52" t="s">
        <v>244</v>
      </c>
      <c r="K7" s="55" t="n">
        <f aca="false">(D7*INDEX(Preise!$B$5:$B$17,MATCH(C7,Preise!$A$5:$A$17,0))+E7*INDEX(Preise!$D$5:$D$17,MATCH(C7,Preise!$A$5:$A$17,0))+F7*INDEX(Preise!$E$5:$E$17,MATCH(C7,Preise!$A$5:$A$17,0))+G7*INDEX(Preise!$F$5:$F$17,MATCH(C7,Preise!$A$5:$A$17,0))+H7*INDEX(Preise!$C$5:$C$17,MATCH(C7,Preise!$A$5:$A$17,0)))/1000000*IF(J7="Ja",Batchfaktor,1)</f>
        <v>0.0064</v>
      </c>
      <c r="L7" s="59" t="n">
        <f aca="false">K7*I7</f>
        <v>268.8</v>
      </c>
      <c r="M7" s="60" t="n">
        <f aca="false">L7/USD_je_EUR</f>
        <v>233.739130434783</v>
      </c>
      <c r="N7" s="61" t="s">
        <v>266</v>
      </c>
    </row>
    <row r="8" customFormat="false" ht="15" hidden="false" customHeight="true" outlineLevel="0" collapsed="false">
      <c r="A8" s="35" t="s">
        <v>267</v>
      </c>
      <c r="B8" s="37" t="s">
        <v>268</v>
      </c>
      <c r="C8" s="52" t="s">
        <v>208</v>
      </c>
      <c r="D8" s="40" t="n">
        <v>2000</v>
      </c>
      <c r="E8" s="40" t="n">
        <v>0</v>
      </c>
      <c r="F8" s="40" t="n">
        <v>0</v>
      </c>
      <c r="G8" s="40" t="n">
        <v>0</v>
      </c>
      <c r="H8" s="40" t="n">
        <v>300</v>
      </c>
      <c r="I8" s="40" t="n">
        <v>3000</v>
      </c>
      <c r="J8" s="52" t="s">
        <v>244</v>
      </c>
      <c r="K8" s="55" t="n">
        <f aca="false">(D8*INDEX(Preise!$B$5:$B$17,MATCH(C8,Preise!$A$5:$A$17,0))+E8*INDEX(Preise!$D$5:$D$17,MATCH(C8,Preise!$A$5:$A$17,0))+F8*INDEX(Preise!$E$5:$E$17,MATCH(C8,Preise!$A$5:$A$17,0))+G8*INDEX(Preise!$F$5:$F$17,MATCH(C8,Preise!$A$5:$A$17,0))+H8*INDEX(Preise!$C$5:$C$17,MATCH(C8,Preise!$A$5:$A$17,0)))/1000000*IF(J8="Ja",Batchfaktor,1)</f>
        <v>0.007</v>
      </c>
      <c r="L8" s="59" t="n">
        <f aca="false">K8*I8</f>
        <v>21</v>
      </c>
      <c r="M8" s="60" t="n">
        <f aca="false">L8/USD_je_EUR</f>
        <v>18.2608695652174</v>
      </c>
      <c r="N8" s="61" t="s">
        <v>269</v>
      </c>
    </row>
    <row r="9" customFormat="false" ht="15" hidden="false" customHeight="true" outlineLevel="0" collapsed="false">
      <c r="A9" s="35" t="s">
        <v>267</v>
      </c>
      <c r="B9" s="37" t="s">
        <v>270</v>
      </c>
      <c r="C9" s="52" t="s">
        <v>208</v>
      </c>
      <c r="D9" s="40" t="n">
        <v>2000</v>
      </c>
      <c r="E9" s="40" t="n">
        <v>0</v>
      </c>
      <c r="F9" s="40" t="n">
        <v>0</v>
      </c>
      <c r="G9" s="40" t="n">
        <v>0</v>
      </c>
      <c r="H9" s="40" t="n">
        <v>1500</v>
      </c>
      <c r="I9" s="40" t="n">
        <v>3000</v>
      </c>
      <c r="J9" s="52" t="s">
        <v>244</v>
      </c>
      <c r="K9" s="55" t="n">
        <f aca="false">(D9*INDEX(Preise!$B$5:$B$17,MATCH(C9,Preise!$A$5:$A$17,0))+E9*INDEX(Preise!$D$5:$D$17,MATCH(C9,Preise!$A$5:$A$17,0))+F9*INDEX(Preise!$E$5:$E$17,MATCH(C9,Preise!$A$5:$A$17,0))+G9*INDEX(Preise!$F$5:$F$17,MATCH(C9,Preise!$A$5:$A$17,0))+H9*INDEX(Preise!$C$5:$C$17,MATCH(C9,Preise!$A$5:$A$17,0)))/1000000*IF(J9="Ja",Batchfaktor,1)</f>
        <v>0.019</v>
      </c>
      <c r="L9" s="59" t="n">
        <f aca="false">K9*I9</f>
        <v>57</v>
      </c>
      <c r="M9" s="60" t="n">
        <f aca="false">L9/USD_je_EUR</f>
        <v>49.5652173913044</v>
      </c>
      <c r="N9" s="61" t="s">
        <v>271</v>
      </c>
    </row>
    <row r="10" customFormat="false" ht="15" hidden="false" customHeight="true" outlineLevel="0" collapsed="false">
      <c r="A10" s="35" t="s">
        <v>272</v>
      </c>
      <c r="B10" s="37" t="s">
        <v>273</v>
      </c>
      <c r="C10" s="52" t="s">
        <v>203</v>
      </c>
      <c r="D10" s="40" t="n">
        <v>99000</v>
      </c>
      <c r="E10" s="40" t="n">
        <v>0</v>
      </c>
      <c r="F10" s="40" t="n">
        <v>0</v>
      </c>
      <c r="G10" s="40" t="n">
        <v>0</v>
      </c>
      <c r="H10" s="40" t="n">
        <v>1000</v>
      </c>
      <c r="I10" s="40" t="n">
        <v>1</v>
      </c>
      <c r="J10" s="52" t="s">
        <v>244</v>
      </c>
      <c r="K10" s="55" t="n">
        <f aca="false">(D10*INDEX(Preise!$B$5:$B$17,MATCH(C10,Preise!$A$5:$A$17,0))+E10*INDEX(Preise!$D$5:$D$17,MATCH(C10,Preise!$A$5:$A$17,0))+F10*INDEX(Preise!$E$5:$E$17,MATCH(C10,Preise!$A$5:$A$17,0))+G10*INDEX(Preise!$F$5:$F$17,MATCH(C10,Preise!$A$5:$A$17,0))+H10*INDEX(Preise!$C$5:$C$17,MATCH(C10,Preise!$A$5:$A$17,0)))/1000000*IF(J10="Ja",Batchfaktor,1)</f>
        <v>0.0104</v>
      </c>
      <c r="L10" s="59" t="n">
        <f aca="false">K10*I10</f>
        <v>0.0104</v>
      </c>
      <c r="M10" s="60" t="n">
        <f aca="false">L10/USD_je_EUR</f>
        <v>0.00904347826086957</v>
      </c>
      <c r="N10" s="61" t="s">
        <v>274</v>
      </c>
    </row>
    <row r="11" customFormat="false" ht="15" hidden="false" customHeight="true" outlineLevel="0" collapsed="false">
      <c r="A11" s="35" t="s">
        <v>272</v>
      </c>
      <c r="B11" s="37" t="s">
        <v>275</v>
      </c>
      <c r="C11" s="52" t="s">
        <v>206</v>
      </c>
      <c r="D11" s="40" t="n">
        <v>101000</v>
      </c>
      <c r="E11" s="40" t="n">
        <v>0</v>
      </c>
      <c r="F11" s="40" t="n">
        <v>0</v>
      </c>
      <c r="G11" s="40" t="n">
        <v>0</v>
      </c>
      <c r="H11" s="40" t="n">
        <v>1000</v>
      </c>
      <c r="I11" s="40" t="n">
        <v>1</v>
      </c>
      <c r="J11" s="52" t="s">
        <v>244</v>
      </c>
      <c r="K11" s="55" t="n">
        <f aca="false">(D11*INDEX(Preise!$B$5:$B$17,MATCH(C11,Preise!$A$5:$A$17,0))+E11*INDEX(Preise!$D$5:$D$17,MATCH(C11,Preise!$A$5:$A$17,0))+F11*INDEX(Preise!$E$5:$E$17,MATCH(C11,Preise!$A$5:$A$17,0))+G11*INDEX(Preise!$F$5:$F$17,MATCH(C11,Preise!$A$5:$A$17,0))+H11*INDEX(Preise!$C$5:$C$17,MATCH(C11,Preise!$A$5:$A$17,0)))/1000000*IF(J11="Ja",Batchfaktor,1)</f>
        <v>0.053</v>
      </c>
      <c r="L11" s="59" t="n">
        <f aca="false">K11*I11</f>
        <v>0.053</v>
      </c>
      <c r="M11" s="60" t="n">
        <f aca="false">L11/USD_je_EUR</f>
        <v>0.0460869565217391</v>
      </c>
      <c r="N11" s="61" t="s">
        <v>276</v>
      </c>
    </row>
    <row r="12" customFormat="false" ht="21.75" hidden="false" customHeight="true" outlineLevel="0" collapsed="false">
      <c r="A12" s="35" t="s">
        <v>277</v>
      </c>
      <c r="B12" s="37" t="s">
        <v>278</v>
      </c>
      <c r="C12" s="52" t="s">
        <v>212</v>
      </c>
      <c r="D12" s="62" t="n">
        <f aca="false">ROUND(10000*Token_je_Wort/Tokenizer_Faktor_alt,-2)</f>
        <v>12300</v>
      </c>
      <c r="E12" s="40" t="n">
        <v>0</v>
      </c>
      <c r="F12" s="40" t="n">
        <v>0</v>
      </c>
      <c r="G12" s="40" t="n">
        <v>0</v>
      </c>
      <c r="H12" s="40" t="n">
        <v>0</v>
      </c>
      <c r="I12" s="40" t="n">
        <v>1</v>
      </c>
      <c r="J12" s="52" t="s">
        <v>244</v>
      </c>
      <c r="K12" s="55" t="n">
        <f aca="false">(D12*INDEX(Preise!$B$5:$B$17,MATCH(C12,Preise!$A$5:$A$17,0))+E12*INDEX(Preise!$D$5:$D$17,MATCH(C12,Preise!$A$5:$A$17,0))+F12*INDEX(Preise!$E$5:$E$17,MATCH(C12,Preise!$A$5:$A$17,0))+G12*INDEX(Preise!$F$5:$F$17,MATCH(C12,Preise!$A$5:$A$17,0))+H12*INDEX(Preise!$C$5:$C$17,MATCH(C12,Preise!$A$5:$A$17,0)))/1000000*IF(J12="Ja",Batchfaktor,1)</f>
        <v>0.0369</v>
      </c>
      <c r="L12" s="59" t="n">
        <f aca="false">K12*I12</f>
        <v>0.0369</v>
      </c>
      <c r="M12" s="60" t="n">
        <f aca="false">L12/USD_je_EUR</f>
        <v>0.0320869565217391</v>
      </c>
      <c r="N12" s="61" t="s">
        <v>279</v>
      </c>
    </row>
    <row r="13" customFormat="false" ht="21.75" hidden="false" customHeight="true" outlineLevel="0" collapsed="false">
      <c r="A13" s="35" t="s">
        <v>277</v>
      </c>
      <c r="B13" s="37" t="s">
        <v>280</v>
      </c>
      <c r="C13" s="52" t="s">
        <v>208</v>
      </c>
      <c r="D13" s="62" t="n">
        <f aca="false">ROUND(10000*Token_je_Wort,-2)</f>
        <v>16000</v>
      </c>
      <c r="E13" s="40" t="n">
        <v>0</v>
      </c>
      <c r="F13" s="40" t="n">
        <v>0</v>
      </c>
      <c r="G13" s="40" t="n">
        <v>0</v>
      </c>
      <c r="H13" s="40" t="n">
        <v>0</v>
      </c>
      <c r="I13" s="40" t="n">
        <v>1</v>
      </c>
      <c r="J13" s="52" t="s">
        <v>244</v>
      </c>
      <c r="K13" s="55" t="n">
        <f aca="false">(D13*INDEX(Preise!$B$5:$B$17,MATCH(C13,Preise!$A$5:$A$17,0))+E13*INDEX(Preise!$D$5:$D$17,MATCH(C13,Preise!$A$5:$A$17,0))+F13*INDEX(Preise!$E$5:$E$17,MATCH(C13,Preise!$A$5:$A$17,0))+G13*INDEX(Preise!$F$5:$F$17,MATCH(C13,Preise!$A$5:$A$17,0))+H13*INDEX(Preise!$C$5:$C$17,MATCH(C13,Preise!$A$5:$A$17,0)))/1000000*IF(J13="Ja",Batchfaktor,1)</f>
        <v>0.032</v>
      </c>
      <c r="L13" s="59" t="n">
        <f aca="false">K13*I13</f>
        <v>0.032</v>
      </c>
      <c r="M13" s="60" t="n">
        <f aca="false">L13/USD_je_EUR</f>
        <v>0.0278260869565217</v>
      </c>
      <c r="N13" s="61" t="s">
        <v>281</v>
      </c>
    </row>
    <row r="14" customFormat="false" ht="15" hidden="false" customHeight="true" outlineLevel="0" collapsed="false">
      <c r="A14" s="35" t="s">
        <v>282</v>
      </c>
      <c r="B14" s="37" t="s">
        <v>283</v>
      </c>
      <c r="C14" s="52" t="s">
        <v>208</v>
      </c>
      <c r="D14" s="62" t="n">
        <f aca="false">ROUND(80*Woerter_je_Seite*Token_je_Wort,-3)+Tokens_je_Frage</f>
        <v>45100</v>
      </c>
      <c r="E14" s="40" t="n">
        <v>0</v>
      </c>
      <c r="F14" s="40" t="n">
        <v>0</v>
      </c>
      <c r="G14" s="40" t="n">
        <v>0</v>
      </c>
      <c r="H14" s="40" t="n">
        <v>400</v>
      </c>
      <c r="I14" s="62" t="n">
        <f aca="false">20*Arbeitstage</f>
        <v>420</v>
      </c>
      <c r="J14" s="52" t="s">
        <v>244</v>
      </c>
      <c r="K14" s="55" t="n">
        <f aca="false">(D14*INDEX(Preise!$B$5:$B$17,MATCH(C14,Preise!$A$5:$A$17,0))+E14*INDEX(Preise!$D$5:$D$17,MATCH(C14,Preise!$A$5:$A$17,0))+F14*INDEX(Preise!$E$5:$E$17,MATCH(C14,Preise!$A$5:$A$17,0))+G14*INDEX(Preise!$F$5:$F$17,MATCH(C14,Preise!$A$5:$A$17,0))+H14*INDEX(Preise!$C$5:$C$17,MATCH(C14,Preise!$A$5:$A$17,0)))/1000000*IF(J14="Ja",Batchfaktor,1)</f>
        <v>0.0942</v>
      </c>
      <c r="L14" s="59" t="n">
        <f aca="false">K14*I14</f>
        <v>39.564</v>
      </c>
      <c r="M14" s="60" t="n">
        <f aca="false">L14/USD_je_EUR</f>
        <v>34.4034782608696</v>
      </c>
      <c r="N14" s="61" t="s">
        <v>284</v>
      </c>
    </row>
    <row r="15" customFormat="false" ht="21.75" hidden="false" customHeight="true" outlineLevel="0" collapsed="false">
      <c r="A15" s="35" t="s">
        <v>282</v>
      </c>
      <c r="B15" s="37" t="s">
        <v>285</v>
      </c>
      <c r="C15" s="52" t="s">
        <v>208</v>
      </c>
      <c r="D15" s="62" t="n">
        <f aca="false">Tokens_je_Frage</f>
        <v>100</v>
      </c>
      <c r="E15" s="62" t="n">
        <f aca="false">ROUND(80*Woerter_je_Seite*Token_je_Wort,-3)</f>
        <v>45000</v>
      </c>
      <c r="F15" s="40" t="n">
        <v>0</v>
      </c>
      <c r="G15" s="40" t="n">
        <v>0</v>
      </c>
      <c r="H15" s="40" t="n">
        <v>400</v>
      </c>
      <c r="I15" s="62" t="n">
        <f aca="false">20*Arbeitstage</f>
        <v>420</v>
      </c>
      <c r="J15" s="52" t="s">
        <v>244</v>
      </c>
      <c r="K15" s="55" t="n">
        <f aca="false">(D15*INDEX(Preise!$B$5:$B$17,MATCH(C15,Preise!$A$5:$A$17,0))+E15*INDEX(Preise!$D$5:$D$17,MATCH(C15,Preise!$A$5:$A$17,0))+F15*INDEX(Preise!$E$5:$E$17,MATCH(C15,Preise!$A$5:$A$17,0))+G15*INDEX(Preise!$F$5:$F$17,MATCH(C15,Preise!$A$5:$A$17,0))+H15*INDEX(Preise!$C$5:$C$17,MATCH(C15,Preise!$A$5:$A$17,0)))/1000000*IF(J15="Ja",Batchfaktor,1)</f>
        <v>0.1167</v>
      </c>
      <c r="L15" s="59" t="n">
        <f aca="false">K15*I15</f>
        <v>49.014</v>
      </c>
      <c r="M15" s="60" t="n">
        <f aca="false">L15/USD_je_EUR</f>
        <v>42.6208695652174</v>
      </c>
      <c r="N15" s="61" t="s">
        <v>286</v>
      </c>
    </row>
    <row r="16" customFormat="false" ht="15" hidden="false" customHeight="true" outlineLevel="0" collapsed="false">
      <c r="A16" s="35" t="s">
        <v>282</v>
      </c>
      <c r="B16" s="37" t="s">
        <v>287</v>
      </c>
      <c r="C16" s="52" t="s">
        <v>208</v>
      </c>
      <c r="D16" s="62" t="n">
        <f aca="false">Tokens_je_Frage</f>
        <v>100</v>
      </c>
      <c r="E16" s="40" t="n">
        <v>0</v>
      </c>
      <c r="F16" s="62" t="n">
        <f aca="false">ROUND(80*Woerter_je_Seite*Token_je_Wort,-3)</f>
        <v>45000</v>
      </c>
      <c r="G16" s="40" t="n">
        <v>0</v>
      </c>
      <c r="H16" s="40" t="n">
        <v>400</v>
      </c>
      <c r="I16" s="62" t="n">
        <f aca="false">Arbeitstage</f>
        <v>21</v>
      </c>
      <c r="J16" s="52" t="s">
        <v>244</v>
      </c>
      <c r="K16" s="55" t="n">
        <f aca="false">(D16*INDEX(Preise!$B$5:$B$17,MATCH(C16,Preise!$A$5:$A$17,0))+E16*INDEX(Preise!$D$5:$D$17,MATCH(C16,Preise!$A$5:$A$17,0))+F16*INDEX(Preise!$E$5:$E$17,MATCH(C16,Preise!$A$5:$A$17,0))+G16*INDEX(Preise!$F$5:$F$17,MATCH(C16,Preise!$A$5:$A$17,0))+H16*INDEX(Preise!$C$5:$C$17,MATCH(C16,Preise!$A$5:$A$17,0)))/1000000*IF(J16="Ja",Batchfaktor,1)</f>
        <v>0.1842</v>
      </c>
      <c r="L16" s="59" t="n">
        <f aca="false">K16*I16</f>
        <v>3.8682</v>
      </c>
      <c r="M16" s="60" t="n">
        <f aca="false">L16/USD_je_EUR</f>
        <v>3.36365217391304</v>
      </c>
      <c r="N16" s="61" t="s">
        <v>288</v>
      </c>
    </row>
    <row r="17" customFormat="false" ht="15" hidden="false" customHeight="true" outlineLevel="0" collapsed="false">
      <c r="A17" s="35" t="s">
        <v>282</v>
      </c>
      <c r="B17" s="37" t="s">
        <v>289</v>
      </c>
      <c r="C17" s="52" t="s">
        <v>208</v>
      </c>
      <c r="D17" s="62" t="n">
        <f aca="false">Tokens_je_Frage</f>
        <v>100</v>
      </c>
      <c r="E17" s="40" t="n">
        <v>0</v>
      </c>
      <c r="F17" s="40" t="n">
        <v>0</v>
      </c>
      <c r="G17" s="62" t="n">
        <f aca="false">ROUND(80*Woerter_je_Seite*Token_je_Wort,-3)</f>
        <v>45000</v>
      </c>
      <c r="H17" s="40" t="n">
        <v>400</v>
      </c>
      <c r="I17" s="62" t="n">
        <f aca="false">19*Arbeitstage</f>
        <v>399</v>
      </c>
      <c r="J17" s="52" t="s">
        <v>244</v>
      </c>
      <c r="K17" s="55" t="n">
        <f aca="false">(D17*INDEX(Preise!$B$5:$B$17,MATCH(C17,Preise!$A$5:$A$17,0))+E17*INDEX(Preise!$D$5:$D$17,MATCH(C17,Preise!$A$5:$A$17,0))+F17*INDEX(Preise!$E$5:$E$17,MATCH(C17,Preise!$A$5:$A$17,0))+G17*INDEX(Preise!$F$5:$F$17,MATCH(C17,Preise!$A$5:$A$17,0))+H17*INDEX(Preise!$C$5:$C$17,MATCH(C17,Preise!$A$5:$A$17,0)))/1000000*IF(J17="Ja",Batchfaktor,1)</f>
        <v>0.0087</v>
      </c>
      <c r="L17" s="59" t="n">
        <f aca="false">K17*I17</f>
        <v>3.4713</v>
      </c>
      <c r="M17" s="60" t="n">
        <f aca="false">L17/USD_je_EUR</f>
        <v>3.01852173913044</v>
      </c>
      <c r="N17" s="61" t="s">
        <v>290</v>
      </c>
    </row>
    <row r="18" customFormat="false" ht="15" hidden="false" customHeight="true" outlineLevel="0" collapsed="false">
      <c r="A18" s="63"/>
      <c r="B18" s="64" t="s">
        <v>291</v>
      </c>
      <c r="C18" s="63"/>
      <c r="D18" s="63"/>
      <c r="E18" s="63"/>
      <c r="F18" s="63"/>
      <c r="G18" s="63"/>
      <c r="H18" s="63"/>
      <c r="I18" s="63"/>
      <c r="J18" s="63"/>
      <c r="K18" s="63"/>
      <c r="L18" s="65" t="n">
        <f aca="false">SUM(L16:L17)</f>
        <v>7.3395</v>
      </c>
      <c r="M18" s="66" t="n">
        <f aca="false">SUM(M16:M17)</f>
        <v>6.38217391304348</v>
      </c>
      <c r="N18" s="67" t="s">
        <v>292</v>
      </c>
    </row>
    <row r="19" customFormat="false" ht="21.75" hidden="false" customHeight="true" outlineLevel="0" collapsed="false">
      <c r="A19" s="35" t="s">
        <v>282</v>
      </c>
      <c r="B19" s="37" t="s">
        <v>293</v>
      </c>
      <c r="C19" s="52" t="s">
        <v>208</v>
      </c>
      <c r="D19" s="62" t="n">
        <f aca="false">4000+Tokens_je_Frage</f>
        <v>4100</v>
      </c>
      <c r="E19" s="40" t="n">
        <v>0</v>
      </c>
      <c r="F19" s="40" t="n">
        <v>0</v>
      </c>
      <c r="G19" s="40" t="n">
        <v>0</v>
      </c>
      <c r="H19" s="40" t="n">
        <v>400</v>
      </c>
      <c r="I19" s="62" t="n">
        <f aca="false">20*Arbeitstage</f>
        <v>420</v>
      </c>
      <c r="J19" s="52" t="s">
        <v>244</v>
      </c>
      <c r="K19" s="55" t="n">
        <f aca="false">(D19*INDEX(Preise!$B$5:$B$17,MATCH(C19,Preise!$A$5:$A$17,0))+E19*INDEX(Preise!$D$5:$D$17,MATCH(C19,Preise!$A$5:$A$17,0))+F19*INDEX(Preise!$E$5:$E$17,MATCH(C19,Preise!$A$5:$A$17,0))+G19*INDEX(Preise!$F$5:$F$17,MATCH(C19,Preise!$A$5:$A$17,0))+H19*INDEX(Preise!$C$5:$C$17,MATCH(C19,Preise!$A$5:$A$17,0)))/1000000*IF(J19="Ja",Batchfaktor,1)</f>
        <v>0.0122</v>
      </c>
      <c r="L19" s="59" t="n">
        <f aca="false">K19*I19</f>
        <v>5.124</v>
      </c>
      <c r="M19" s="60" t="n">
        <f aca="false">L19/USD_je_EUR</f>
        <v>4.45565217391305</v>
      </c>
      <c r="N19" s="61" t="s">
        <v>294</v>
      </c>
    </row>
    <row r="20" customFormat="false" ht="15" hidden="false" customHeight="true" outlineLevel="0" collapsed="false">
      <c r="A20" s="35" t="s">
        <v>295</v>
      </c>
      <c r="B20" s="37" t="s">
        <v>296</v>
      </c>
      <c r="C20" s="52" t="s">
        <v>203</v>
      </c>
      <c r="D20" s="40" t="n">
        <v>3500</v>
      </c>
      <c r="E20" s="40" t="n">
        <v>0</v>
      </c>
      <c r="F20" s="40" t="n">
        <v>0</v>
      </c>
      <c r="G20" s="40" t="n">
        <v>0</v>
      </c>
      <c r="H20" s="40" t="n">
        <v>400</v>
      </c>
      <c r="I20" s="40" t="n">
        <v>2000</v>
      </c>
      <c r="J20" s="52" t="s">
        <v>244</v>
      </c>
      <c r="K20" s="55" t="n">
        <f aca="false">(D20*INDEX(Preise!$B$5:$B$17,MATCH(C20,Preise!$A$5:$A$17,0))+E20*INDEX(Preise!$D$5:$D$17,MATCH(C20,Preise!$A$5:$A$17,0))+F20*INDEX(Preise!$E$5:$E$17,MATCH(C20,Preise!$A$5:$A$17,0))+G20*INDEX(Preise!$F$5:$F$17,MATCH(C20,Preise!$A$5:$A$17,0))+H20*INDEX(Preise!$C$5:$C$17,MATCH(C20,Preise!$A$5:$A$17,0)))/1000000*IF(J20="Ja",Batchfaktor,1)</f>
        <v>0.00055</v>
      </c>
      <c r="L20" s="59" t="n">
        <f aca="false">K20*I20</f>
        <v>1.1</v>
      </c>
      <c r="M20" s="60" t="n">
        <f aca="false">L20/USD_je_EUR</f>
        <v>0.956521739130435</v>
      </c>
      <c r="N20" s="61" t="s">
        <v>297</v>
      </c>
    </row>
    <row r="21" customFormat="false" ht="15" hidden="false" customHeight="true" outlineLevel="0" collapsed="false">
      <c r="A21" s="35" t="s">
        <v>295</v>
      </c>
      <c r="B21" s="37" t="s">
        <v>298</v>
      </c>
      <c r="C21" s="52" t="s">
        <v>203</v>
      </c>
      <c r="D21" s="40" t="n">
        <v>3500</v>
      </c>
      <c r="E21" s="40" t="n">
        <v>0</v>
      </c>
      <c r="F21" s="40" t="n">
        <v>0</v>
      </c>
      <c r="G21" s="40" t="n">
        <v>0</v>
      </c>
      <c r="H21" s="40" t="n">
        <v>400</v>
      </c>
      <c r="I21" s="40" t="n">
        <v>2000</v>
      </c>
      <c r="J21" s="52" t="s">
        <v>299</v>
      </c>
      <c r="K21" s="55" t="n">
        <f aca="false">(D21*INDEX(Preise!$B$5:$B$17,MATCH(C21,Preise!$A$5:$A$17,0))+E21*INDEX(Preise!$D$5:$D$17,MATCH(C21,Preise!$A$5:$A$17,0))+F21*INDEX(Preise!$E$5:$E$17,MATCH(C21,Preise!$A$5:$A$17,0))+G21*INDEX(Preise!$F$5:$F$17,MATCH(C21,Preise!$A$5:$A$17,0))+H21*INDEX(Preise!$C$5:$C$17,MATCH(C21,Preise!$A$5:$A$17,0)))/1000000*IF(J21="Ja",Batchfaktor,1)</f>
        <v>0.000275</v>
      </c>
      <c r="L21" s="59" t="n">
        <f aca="false">K21*I21</f>
        <v>0.55</v>
      </c>
      <c r="M21" s="60" t="n">
        <f aca="false">L21/USD_je_EUR</f>
        <v>0.478260869565217</v>
      </c>
      <c r="N21" s="61" t="s">
        <v>300</v>
      </c>
    </row>
    <row r="22" customFormat="false" ht="15" hidden="false" customHeight="true" outlineLevel="0" collapsed="false">
      <c r="A22" s="35" t="s">
        <v>295</v>
      </c>
      <c r="B22" s="37" t="s">
        <v>301</v>
      </c>
      <c r="C22" s="52" t="s">
        <v>208</v>
      </c>
      <c r="D22" s="40" t="n">
        <v>3500</v>
      </c>
      <c r="E22" s="40" t="n">
        <v>0</v>
      </c>
      <c r="F22" s="40" t="n">
        <v>0</v>
      </c>
      <c r="G22" s="40" t="n">
        <v>0</v>
      </c>
      <c r="H22" s="40" t="n">
        <v>400</v>
      </c>
      <c r="I22" s="40" t="n">
        <v>2000</v>
      </c>
      <c r="J22" s="52" t="s">
        <v>244</v>
      </c>
      <c r="K22" s="55" t="n">
        <f aca="false">(D22*INDEX(Preise!$B$5:$B$17,MATCH(C22,Preise!$A$5:$A$17,0))+E22*INDEX(Preise!$D$5:$D$17,MATCH(C22,Preise!$A$5:$A$17,0))+F22*INDEX(Preise!$E$5:$E$17,MATCH(C22,Preise!$A$5:$A$17,0))+G22*INDEX(Preise!$F$5:$F$17,MATCH(C22,Preise!$A$5:$A$17,0))+H22*INDEX(Preise!$C$5:$C$17,MATCH(C22,Preise!$A$5:$A$17,0)))/1000000*IF(J22="Ja",Batchfaktor,1)</f>
        <v>0.011</v>
      </c>
      <c r="L22" s="59" t="n">
        <f aca="false">K22*I22</f>
        <v>22</v>
      </c>
      <c r="M22" s="60" t="n">
        <f aca="false">L22/USD_je_EUR</f>
        <v>19.1304347826087</v>
      </c>
      <c r="N22" s="61"/>
    </row>
    <row r="23" customFormat="false" ht="15" hidden="false" customHeight="true" outlineLevel="0" collapsed="false">
      <c r="A23" s="35" t="s">
        <v>295</v>
      </c>
      <c r="B23" s="37" t="s">
        <v>302</v>
      </c>
      <c r="C23" s="52" t="s">
        <v>208</v>
      </c>
      <c r="D23" s="40" t="n">
        <v>3500</v>
      </c>
      <c r="E23" s="40" t="n">
        <v>0</v>
      </c>
      <c r="F23" s="40" t="n">
        <v>0</v>
      </c>
      <c r="G23" s="40" t="n">
        <v>0</v>
      </c>
      <c r="H23" s="40" t="n">
        <v>400</v>
      </c>
      <c r="I23" s="40" t="n">
        <v>2000</v>
      </c>
      <c r="J23" s="52" t="s">
        <v>299</v>
      </c>
      <c r="K23" s="55" t="n">
        <f aca="false">(D23*INDEX(Preise!$B$5:$B$17,MATCH(C23,Preise!$A$5:$A$17,0))+E23*INDEX(Preise!$D$5:$D$17,MATCH(C23,Preise!$A$5:$A$17,0))+F23*INDEX(Preise!$E$5:$E$17,MATCH(C23,Preise!$A$5:$A$17,0))+G23*INDEX(Preise!$F$5:$F$17,MATCH(C23,Preise!$A$5:$A$17,0))+H23*INDEX(Preise!$C$5:$C$17,MATCH(C23,Preise!$A$5:$A$17,0)))/1000000*IF(J23="Ja",Batchfaktor,1)</f>
        <v>0.0055</v>
      </c>
      <c r="L23" s="59" t="n">
        <f aca="false">K23*I23</f>
        <v>11</v>
      </c>
      <c r="M23" s="60" t="n">
        <f aca="false">L23/USD_je_EUR</f>
        <v>9.56521739130435</v>
      </c>
      <c r="N23" s="61"/>
    </row>
    <row r="24" customFormat="false" ht="21.75" hidden="false" customHeight="true" outlineLevel="0" collapsed="false">
      <c r="A24" s="35" t="s">
        <v>303</v>
      </c>
      <c r="B24" s="37" t="s">
        <v>304</v>
      </c>
      <c r="C24" s="52" t="s">
        <v>208</v>
      </c>
      <c r="D24" s="40" t="n">
        <v>500000</v>
      </c>
      <c r="E24" s="40" t="n">
        <v>0</v>
      </c>
      <c r="F24" s="40" t="n">
        <v>0</v>
      </c>
      <c r="G24" s="40" t="n">
        <v>0</v>
      </c>
      <c r="H24" s="40" t="n">
        <v>1500</v>
      </c>
      <c r="I24" s="40" t="n">
        <v>20</v>
      </c>
      <c r="J24" s="52" t="s">
        <v>244</v>
      </c>
      <c r="K24" s="55" t="n">
        <f aca="false">(D24*INDEX(Preise!$B$5:$B$17,MATCH(C24,Preise!$A$5:$A$17,0))+E24*INDEX(Preise!$D$5:$D$17,MATCH(C24,Preise!$A$5:$A$17,0))+F24*INDEX(Preise!$E$5:$E$17,MATCH(C24,Preise!$A$5:$A$17,0))+G24*INDEX(Preise!$F$5:$F$17,MATCH(C24,Preise!$A$5:$A$17,0))+H24*INDEX(Preise!$C$5:$C$17,MATCH(C24,Preise!$A$5:$A$17,0)))/1000000*IF(J24="Ja",Batchfaktor,1)</f>
        <v>1.015</v>
      </c>
      <c r="L24" s="59" t="n">
        <f aca="false">K24*I24</f>
        <v>20.3</v>
      </c>
      <c r="M24" s="60" t="n">
        <f aca="false">L24/USD_je_EUR</f>
        <v>17.6521739130435</v>
      </c>
      <c r="N24" s="61" t="s">
        <v>305</v>
      </c>
    </row>
    <row r="25" customFormat="false" ht="23.25" hidden="false" customHeight="true" outlineLevel="0" collapsed="false">
      <c r="A25" s="35" t="s">
        <v>303</v>
      </c>
      <c r="B25" s="37" t="s">
        <v>306</v>
      </c>
      <c r="C25" s="52" t="s">
        <v>208</v>
      </c>
      <c r="D25" s="40" t="n">
        <v>3000</v>
      </c>
      <c r="E25" s="40" t="n">
        <v>0</v>
      </c>
      <c r="F25" s="40" t="n">
        <v>0</v>
      </c>
      <c r="G25" s="40" t="n">
        <v>0</v>
      </c>
      <c r="H25" s="40" t="n">
        <v>800</v>
      </c>
      <c r="I25" s="40" t="n">
        <v>20</v>
      </c>
      <c r="J25" s="52" t="s">
        <v>244</v>
      </c>
      <c r="K25" s="55" t="n">
        <f aca="false">(D25*INDEX(Preise!$B$5:$B$17,MATCH(C25,Preise!$A$5:$A$17,0))+E25*INDEX(Preise!$D$5:$D$17,MATCH(C25,Preise!$A$5:$A$17,0))+F25*INDEX(Preise!$E$5:$E$17,MATCH(C25,Preise!$A$5:$A$17,0))+G25*INDEX(Preise!$F$5:$F$17,MATCH(C25,Preise!$A$5:$A$17,0))+H25*INDEX(Preise!$C$5:$C$17,MATCH(C25,Preise!$A$5:$A$17,0)))/1000000*IF(J25="Ja",Batchfaktor,1)</f>
        <v>0.014</v>
      </c>
      <c r="L25" s="59" t="n">
        <f aca="false">K25*I25</f>
        <v>0.28</v>
      </c>
      <c r="M25" s="60" t="n">
        <f aca="false">L25/USD_je_EUR</f>
        <v>0.243478260869565</v>
      </c>
      <c r="N25" s="61" t="s">
        <v>307</v>
      </c>
    </row>
    <row r="26" customFormat="false" ht="15" hidden="false" customHeight="true" outlineLevel="0" collapsed="false">
      <c r="A26" s="35" t="s">
        <v>308</v>
      </c>
      <c r="B26" s="37" t="s">
        <v>309</v>
      </c>
      <c r="C26" s="52" t="s">
        <v>208</v>
      </c>
      <c r="D26" s="40" t="n">
        <v>2500</v>
      </c>
      <c r="E26" s="40" t="n">
        <v>0</v>
      </c>
      <c r="F26" s="40" t="n">
        <v>0</v>
      </c>
      <c r="G26" s="40" t="n">
        <v>0</v>
      </c>
      <c r="H26" s="40" t="n">
        <v>500</v>
      </c>
      <c r="I26" s="40" t="n">
        <v>3000</v>
      </c>
      <c r="J26" s="52" t="s">
        <v>244</v>
      </c>
      <c r="K26" s="55" t="n">
        <f aca="false">(D26*INDEX(Preise!$B$5:$B$17,MATCH(C26,Preise!$A$5:$A$17,0))+E26*INDEX(Preise!$D$5:$D$17,MATCH(C26,Preise!$A$5:$A$17,0))+F26*INDEX(Preise!$E$5:$E$17,MATCH(C26,Preise!$A$5:$A$17,0))+G26*INDEX(Preise!$F$5:$F$17,MATCH(C26,Preise!$A$5:$A$17,0))+H26*INDEX(Preise!$C$5:$C$17,MATCH(C26,Preise!$A$5:$A$17,0)))/1000000*IF(J26="Ja",Batchfaktor,1)</f>
        <v>0.01</v>
      </c>
      <c r="L26" s="59" t="n">
        <f aca="false">K26*I26</f>
        <v>30</v>
      </c>
      <c r="M26" s="60" t="n">
        <f aca="false">L26/USD_je_EUR</f>
        <v>26.0869565217391</v>
      </c>
      <c r="N26" s="61" t="s">
        <v>310</v>
      </c>
    </row>
    <row r="27" customFormat="false" ht="15" hidden="false" customHeight="true" outlineLevel="0" collapsed="false">
      <c r="A27" s="35" t="s">
        <v>308</v>
      </c>
      <c r="B27" s="37" t="s">
        <v>311</v>
      </c>
      <c r="C27" s="52" t="s">
        <v>209</v>
      </c>
      <c r="D27" s="40" t="n">
        <v>2500</v>
      </c>
      <c r="E27" s="40" t="n">
        <v>0</v>
      </c>
      <c r="F27" s="40" t="n">
        <v>0</v>
      </c>
      <c r="G27" s="40" t="n">
        <v>0</v>
      </c>
      <c r="H27" s="40" t="n">
        <v>500</v>
      </c>
      <c r="I27" s="40" t="n">
        <v>3000</v>
      </c>
      <c r="J27" s="52" t="s">
        <v>244</v>
      </c>
      <c r="K27" s="55" t="n">
        <f aca="false">(D27*INDEX(Preise!$B$5:$B$17,MATCH(C27,Preise!$A$5:$A$17,0))+E27*INDEX(Preise!$D$5:$D$17,MATCH(C27,Preise!$A$5:$A$17,0))+F27*INDEX(Preise!$E$5:$E$17,MATCH(C27,Preise!$A$5:$A$17,0))+G27*INDEX(Preise!$F$5:$F$17,MATCH(C27,Preise!$A$5:$A$17,0))+H27*INDEX(Preise!$C$5:$C$17,MATCH(C27,Preise!$A$5:$A$17,0)))/1000000*IF(J27="Ja",Batchfaktor,1)</f>
        <v>0.02</v>
      </c>
      <c r="L27" s="59" t="n">
        <f aca="false">K27*I27</f>
        <v>60</v>
      </c>
      <c r="M27" s="60" t="n">
        <f aca="false">L27/USD_je_EUR</f>
        <v>52.1739130434783</v>
      </c>
      <c r="N27" s="61"/>
    </row>
    <row r="28" customFormat="false" ht="15" hidden="false" customHeight="true" outlineLevel="0" collapsed="false">
      <c r="A28" s="35" t="s">
        <v>308</v>
      </c>
      <c r="B28" s="37" t="s">
        <v>312</v>
      </c>
      <c r="C28" s="52" t="s">
        <v>203</v>
      </c>
      <c r="D28" s="40" t="n">
        <v>2500</v>
      </c>
      <c r="E28" s="40" t="n">
        <v>0</v>
      </c>
      <c r="F28" s="40" t="n">
        <v>0</v>
      </c>
      <c r="G28" s="40" t="n">
        <v>0</v>
      </c>
      <c r="H28" s="40" t="n">
        <v>50</v>
      </c>
      <c r="I28" s="40" t="n">
        <v>3000</v>
      </c>
      <c r="J28" s="52" t="s">
        <v>244</v>
      </c>
      <c r="K28" s="55" t="n">
        <f aca="false">(D28*INDEX(Preise!$B$5:$B$17,MATCH(C28,Preise!$A$5:$A$17,0))+E28*INDEX(Preise!$D$5:$D$17,MATCH(C28,Preise!$A$5:$A$17,0))+F28*INDEX(Preise!$E$5:$E$17,MATCH(C28,Preise!$A$5:$A$17,0))+G28*INDEX(Preise!$F$5:$F$17,MATCH(C28,Preise!$A$5:$A$17,0))+H28*INDEX(Preise!$C$5:$C$17,MATCH(C28,Preise!$A$5:$A$17,0)))/1000000*IF(J28="Ja",Batchfaktor,1)</f>
        <v>0.000275</v>
      </c>
      <c r="L28" s="59" t="n">
        <f aca="false">K28*I28</f>
        <v>0.825</v>
      </c>
      <c r="M28" s="60" t="n">
        <f aca="false">L28/USD_je_EUR</f>
        <v>0.717391304347826</v>
      </c>
      <c r="N28" s="61" t="s">
        <v>313</v>
      </c>
    </row>
    <row r="29" customFormat="false" ht="15" hidden="false" customHeight="true" outlineLevel="0" collapsed="false">
      <c r="A29" s="35" t="s">
        <v>308</v>
      </c>
      <c r="B29" s="37" t="s">
        <v>314</v>
      </c>
      <c r="C29" s="52" t="s">
        <v>208</v>
      </c>
      <c r="D29" s="40" t="n">
        <v>2500</v>
      </c>
      <c r="E29" s="40" t="n">
        <v>0</v>
      </c>
      <c r="F29" s="40" t="n">
        <v>0</v>
      </c>
      <c r="G29" s="40" t="n">
        <v>0</v>
      </c>
      <c r="H29" s="40" t="n">
        <v>500</v>
      </c>
      <c r="I29" s="62" t="n">
        <f aca="false">3000*Routing_Anteil_komplex</f>
        <v>900</v>
      </c>
      <c r="J29" s="52" t="s">
        <v>244</v>
      </c>
      <c r="K29" s="55" t="n">
        <f aca="false">(D29*INDEX(Preise!$B$5:$B$17,MATCH(C29,Preise!$A$5:$A$17,0))+E29*INDEX(Preise!$D$5:$D$17,MATCH(C29,Preise!$A$5:$A$17,0))+F29*INDEX(Preise!$E$5:$E$17,MATCH(C29,Preise!$A$5:$A$17,0))+G29*INDEX(Preise!$F$5:$F$17,MATCH(C29,Preise!$A$5:$A$17,0))+H29*INDEX(Preise!$C$5:$C$17,MATCH(C29,Preise!$A$5:$A$17,0)))/1000000*IF(J29="Ja",Batchfaktor,1)</f>
        <v>0.01</v>
      </c>
      <c r="L29" s="59" t="n">
        <f aca="false">K29*I29</f>
        <v>9</v>
      </c>
      <c r="M29" s="60" t="n">
        <f aca="false">L29/USD_je_EUR</f>
        <v>7.82608695652174</v>
      </c>
      <c r="N29" s="61"/>
    </row>
    <row r="30" customFormat="false" ht="15" hidden="false" customHeight="true" outlineLevel="0" collapsed="false">
      <c r="A30" s="35" t="s">
        <v>308</v>
      </c>
      <c r="B30" s="37" t="s">
        <v>315</v>
      </c>
      <c r="C30" s="52" t="s">
        <v>203</v>
      </c>
      <c r="D30" s="40" t="n">
        <v>2500</v>
      </c>
      <c r="E30" s="40" t="n">
        <v>0</v>
      </c>
      <c r="F30" s="40" t="n">
        <v>0</v>
      </c>
      <c r="G30" s="40" t="n">
        <v>0</v>
      </c>
      <c r="H30" s="40" t="n">
        <v>500</v>
      </c>
      <c r="I30" s="62" t="n">
        <f aca="false">3000*(1-Routing_Anteil_komplex)</f>
        <v>2100</v>
      </c>
      <c r="J30" s="52" t="s">
        <v>244</v>
      </c>
      <c r="K30" s="55" t="n">
        <f aca="false">(D30*INDEX(Preise!$B$5:$B$17,MATCH(C30,Preise!$A$5:$A$17,0))+E30*INDEX(Preise!$D$5:$D$17,MATCH(C30,Preise!$A$5:$A$17,0))+F30*INDEX(Preise!$E$5:$E$17,MATCH(C30,Preise!$A$5:$A$17,0))+G30*INDEX(Preise!$F$5:$F$17,MATCH(C30,Preise!$A$5:$A$17,0))+H30*INDEX(Preise!$C$5:$C$17,MATCH(C30,Preise!$A$5:$A$17,0)))/1000000*IF(J30="Ja",Batchfaktor,1)</f>
        <v>0.0005</v>
      </c>
      <c r="L30" s="59" t="n">
        <f aca="false">K30*I30</f>
        <v>1.05</v>
      </c>
      <c r="M30" s="60" t="n">
        <f aca="false">L30/USD_je_EUR</f>
        <v>0.91304347826087</v>
      </c>
      <c r="N30" s="61"/>
    </row>
    <row r="31" customFormat="false" ht="15" hidden="false" customHeight="true" outlineLevel="0" collapsed="false">
      <c r="A31" s="63"/>
      <c r="B31" s="64" t="s">
        <v>316</v>
      </c>
      <c r="C31" s="63"/>
      <c r="D31" s="63"/>
      <c r="E31" s="63"/>
      <c r="F31" s="63"/>
      <c r="G31" s="63"/>
      <c r="H31" s="63"/>
      <c r="I31" s="63"/>
      <c r="J31" s="63"/>
      <c r="K31" s="63"/>
      <c r="L31" s="65" t="n">
        <f aca="false">SUM(L28:L30)</f>
        <v>10.875</v>
      </c>
      <c r="M31" s="66" t="n">
        <f aca="false">SUM(M28:M30)</f>
        <v>9.45652173913044</v>
      </c>
      <c r="N31" s="67" t="s">
        <v>317</v>
      </c>
    </row>
    <row r="33" customFormat="false" ht="15" hidden="false" customHeight="true" outlineLevel="0" collapsed="false">
      <c r="A33" s="68" t="s">
        <v>318</v>
      </c>
    </row>
    <row r="34" customFormat="false" ht="15" hidden="false" customHeight="true" outlineLevel="0" collapsed="false">
      <c r="B34" s="35" t="s">
        <v>319</v>
      </c>
      <c r="C34" s="62" t="n">
        <f aca="false">3000*(1-Routing_Anteil_komplex)</f>
        <v>2100</v>
      </c>
    </row>
    <row r="35" customFormat="false" ht="15" hidden="false" customHeight="true" outlineLevel="0" collapsed="false">
      <c r="B35" s="35" t="s">
        <v>320</v>
      </c>
      <c r="C35" s="69" t="n">
        <v>0.1</v>
      </c>
    </row>
    <row r="36" customFormat="false" ht="15" hidden="false" customHeight="true" outlineLevel="0" collapsed="false">
      <c r="B36" s="35" t="s">
        <v>321</v>
      </c>
      <c r="C36" s="46" t="n">
        <v>1</v>
      </c>
    </row>
    <row r="37" customFormat="false" ht="15" hidden="false" customHeight="true" outlineLevel="0" collapsed="false">
      <c r="B37" s="35" t="s">
        <v>322</v>
      </c>
      <c r="C37" s="60" t="n">
        <f aca="false">C34*C35*C36/60*Stundensatz</f>
        <v>157.5</v>
      </c>
    </row>
    <row r="38" customFormat="false" ht="15" hidden="false" customHeight="true" outlineLevel="0" collapsed="false">
      <c r="B38" s="35" t="s">
        <v>323</v>
      </c>
      <c r="C38" s="60" t="n">
        <f aca="false">M26-M31</f>
        <v>16.6304347826087</v>
      </c>
    </row>
    <row r="39" customFormat="false" ht="15" hidden="false" customHeight="true" outlineLevel="0" collapsed="false">
      <c r="B39" s="54" t="s">
        <v>324</v>
      </c>
      <c r="C39" s="66" t="n">
        <f aca="false">C38-C37</f>
        <v>-140.869565217391</v>
      </c>
      <c r="D39" s="48" t="s">
        <v>325</v>
      </c>
    </row>
    <row r="41" customFormat="false" ht="15" hidden="false" customHeight="true" outlineLevel="0" collapsed="false">
      <c r="A41" s="68" t="s">
        <v>326</v>
      </c>
    </row>
    <row r="42" customFormat="false" ht="15" hidden="false" customHeight="true" outlineLevel="0" collapsed="false">
      <c r="B42" s="35" t="s">
        <v>327</v>
      </c>
      <c r="C42" s="58" t="n">
        <f aca="false">H5*INDEX(Preise!$C$5:$C$17,MATCH(C5,Preise!$A$5:$A$17,0))/1000000/K5</f>
        <v>0.625</v>
      </c>
    </row>
    <row r="43" customFormat="false" ht="15" hidden="false" customHeight="true" outlineLevel="0" collapsed="false">
      <c r="B43" s="35" t="s">
        <v>328</v>
      </c>
      <c r="C43" s="70" t="n">
        <f aca="false">K9/K8</f>
        <v>2.71428571428571</v>
      </c>
    </row>
    <row r="44" customFormat="false" ht="15" hidden="false" customHeight="true" outlineLevel="0" collapsed="false">
      <c r="B44" s="35" t="s">
        <v>329</v>
      </c>
      <c r="C44" s="58" t="n">
        <f aca="false">H8*INDEX(Preise!$C$5:$C$17,MATCH(C8,Preise!$A$5:$A$17,0))/1000000/K8</f>
        <v>0.428571428571429</v>
      </c>
    </row>
    <row r="45" customFormat="false" ht="15" hidden="false" customHeight="true" outlineLevel="0" collapsed="false">
      <c r="B45" s="35" t="s">
        <v>330</v>
      </c>
      <c r="C45" s="58" t="n">
        <f aca="false">H9*INDEX(Preise!$C$5:$C$17,MATCH(C9,Preise!$A$5:$A$17,0))/1000000/K9</f>
        <v>0.789473684210526</v>
      </c>
    </row>
    <row r="46" customFormat="false" ht="15" hidden="false" customHeight="true" outlineLevel="0" collapsed="false">
      <c r="B46" s="35" t="s">
        <v>331</v>
      </c>
      <c r="C46" s="58" t="n">
        <f aca="false">D11/D10-1</f>
        <v>0.0202020202020201</v>
      </c>
    </row>
    <row r="47" customFormat="false" ht="15" hidden="false" customHeight="true" outlineLevel="0" collapsed="false">
      <c r="B47" s="35" t="s">
        <v>332</v>
      </c>
      <c r="C47" s="58" t="n">
        <f aca="false">K11/K10-1</f>
        <v>4.09615384615385</v>
      </c>
    </row>
    <row r="48" customFormat="false" ht="15" hidden="false" customHeight="true" outlineLevel="0" collapsed="false">
      <c r="B48" s="35" t="s">
        <v>333</v>
      </c>
      <c r="C48" s="58" t="n">
        <f aca="false">1-INDEX(Preise!$B$5:$B$17,MATCH(C13,Preise!$A$5:$A$17,0))/INDEX(Preise!$B$5:$B$17,MATCH(C12,Preise!$A$5:$A$17,0))</f>
        <v>0.333333333333333</v>
      </c>
    </row>
    <row r="49" customFormat="false" ht="15" hidden="false" customHeight="true" outlineLevel="0" collapsed="false">
      <c r="B49" s="35" t="s">
        <v>334</v>
      </c>
      <c r="C49" s="58" t="n">
        <f aca="false">1-K13/K12</f>
        <v>0.132791327913279</v>
      </c>
    </row>
    <row r="50" customFormat="false" ht="15" hidden="false" customHeight="true" outlineLevel="0" collapsed="false">
      <c r="B50" s="35" t="s">
        <v>335</v>
      </c>
      <c r="C50" s="58" t="n">
        <f aca="false">1-L18/L14</f>
        <v>0.814490445859873</v>
      </c>
    </row>
    <row r="51" customFormat="false" ht="15" hidden="false" customHeight="true" outlineLevel="0" collapsed="false">
      <c r="B51" s="35" t="s">
        <v>336</v>
      </c>
      <c r="C51" s="60" t="n">
        <f aca="false">M20-M21</f>
        <v>0.478260869565217</v>
      </c>
    </row>
    <row r="52" customFormat="false" ht="15" hidden="false" customHeight="true" outlineLevel="0" collapsed="false">
      <c r="B52" s="35" t="s">
        <v>337</v>
      </c>
      <c r="C52" s="60" t="n">
        <f aca="false">M22-M23</f>
        <v>9.56521739130435</v>
      </c>
    </row>
    <row r="53" customFormat="false" ht="15" hidden="false" customHeight="true" outlineLevel="0" collapsed="false">
      <c r="B53" s="35" t="s">
        <v>338</v>
      </c>
      <c r="C53" s="70" t="n">
        <f aca="false">K24/K25</f>
        <v>72.5</v>
      </c>
    </row>
    <row r="54" customFormat="false" ht="15" hidden="false" customHeight="true" outlineLevel="0" collapsed="false">
      <c r="B54" s="35" t="s">
        <v>339</v>
      </c>
      <c r="C54" s="71" t="n">
        <f aca="false">C38/Stundensatz*60</f>
        <v>22.1739130434783</v>
      </c>
    </row>
    <row r="55" customFormat="false" ht="15" hidden="false" customHeight="true" outlineLevel="0" collapsed="false">
      <c r="B55" s="35" t="s">
        <v>340</v>
      </c>
      <c r="C55" s="71" t="n">
        <f aca="false">C38/Stundensatz*3600/C34</f>
        <v>0.633540372670807</v>
      </c>
    </row>
    <row r="56" customFormat="false" ht="15" hidden="false" customHeight="true" outlineLevel="0" collapsed="false">
      <c r="B56" s="35" t="s">
        <v>341</v>
      </c>
      <c r="C56" s="59" t="n">
        <f aca="false">L7+Denk_Tokens_Szenario*INDEX(Preise!$C$5:$C$17,MATCH(C7,Preise!$A$5:$A$17,0))/1000000*I7</f>
        <v>688.8</v>
      </c>
    </row>
    <row r="57" customFormat="false" ht="15" hidden="false" customHeight="true" outlineLevel="0" collapsed="false">
      <c r="B57" s="35" t="s">
        <v>342</v>
      </c>
      <c r="C57" s="59" t="n">
        <f aca="false">L27+Denk_Tokens_Szenario*INDEX(Preise!$C$5:$C$17,MATCH(C27,Preise!$A$5:$A$17,0))/1000000*I27</f>
        <v>120</v>
      </c>
    </row>
    <row r="58" customFormat="false" ht="15" hidden="false" customHeight="true" outlineLevel="0" collapsed="false">
      <c r="B58" s="35" t="s">
        <v>343</v>
      </c>
      <c r="C58" s="72" t="n">
        <f aca="false">F16*(INDEX(Preise!$E$5:$E$17,MATCH(C5,Preise!$A$5:$A$17,0))-INDEX(Preise!$F$5:$F$17,MATCH(C5,Preise!$A$5:$A$17,0)))/1000000</f>
        <v>0.1755</v>
      </c>
    </row>
    <row r="59" customFormat="false" ht="15" hidden="false" customHeight="true" outlineLevel="0" collapsed="false">
      <c r="B59" s="35" t="s">
        <v>344</v>
      </c>
      <c r="C59" s="59" t="n">
        <f aca="false">C58*Arbeitstage</f>
        <v>3.6855</v>
      </c>
    </row>
  </sheetData>
  <sheetProtection sheet="true" formatColumns="false" formatRows="false"/>
  <dataValidations count="2">
    <dataValidation allowBlank="false" errorStyle="stop" operator="between" showDropDown="false" showErrorMessage="false" showInputMessage="false" sqref="C5:C17 C19:C30" type="list">
      <formula1>Preise!$A$5:$A$17</formula1>
      <formula2>0</formula2>
    </dataValidation>
    <dataValidation allowBlank="false" errorStyle="stop" operator="between" showDropDown="false" showErrorMessage="false" showInputMessage="false" sqref="J5:J17 J19:J30"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9" width="30"/>
    <col collapsed="false" customWidth="true" hidden="false" outlineLevel="0" max="2" min="2" style="29" width="11"/>
    <col collapsed="false" customWidth="true" hidden="false" outlineLevel="0" max="4" min="3" style="29" width="12"/>
    <col collapsed="false" customWidth="true" hidden="false" outlineLevel="0" max="5" min="5" style="29" width="10"/>
    <col collapsed="false" customWidth="true" hidden="false" outlineLevel="0" max="6" min="6" style="29" width="18"/>
    <col collapsed="false" customWidth="true" hidden="false" outlineLevel="0" max="9" min="7" style="29" width="13"/>
    <col collapsed="false" customWidth="true" hidden="false" outlineLevel="0" max="10" min="10" style="29" width="12"/>
    <col collapsed="false" customWidth="true" hidden="false" outlineLevel="0" max="11" min="11" style="29" width="15"/>
    <col collapsed="false" customWidth="true" hidden="false" outlineLevel="0" max="12" min="12" style="29" width="13"/>
    <col collapsed="false" customWidth="true" hidden="false" outlineLevel="0" max="13" min="13" style="29" width="50"/>
    <col collapsed="false" customWidth="true" hidden="false" outlineLevel="0" max="14" min="14" style="29" width="14"/>
    <col collapsed="false" customWidth="true" hidden="false" outlineLevel="0" max="15" min="15" style="29" width="16"/>
  </cols>
  <sheetData>
    <row r="1" customFormat="false" ht="17.25" hidden="false" customHeight="true" outlineLevel="0" collapsed="false">
      <c r="A1" s="33" t="s">
        <v>345</v>
      </c>
    </row>
    <row r="2" customFormat="false" ht="45" hidden="false" customHeight="true" outlineLevel="0" collapsed="false">
      <c r="A2" s="2" t="s">
        <v>346</v>
      </c>
    </row>
    <row r="4" customFormat="false" ht="45.75" hidden="false" customHeight="true" outlineLevel="0" collapsed="false">
      <c r="A4" s="34" t="s">
        <v>347</v>
      </c>
      <c r="B4" s="34" t="s">
        <v>348</v>
      </c>
      <c r="C4" s="34" t="s">
        <v>349</v>
      </c>
      <c r="D4" s="34" t="s">
        <v>350</v>
      </c>
      <c r="E4" s="34" t="s">
        <v>351</v>
      </c>
      <c r="F4" s="34" t="s">
        <v>195</v>
      </c>
      <c r="G4" s="34" t="s">
        <v>352</v>
      </c>
      <c r="H4" s="34" t="s">
        <v>353</v>
      </c>
      <c r="I4" s="34" t="s">
        <v>354</v>
      </c>
      <c r="J4" s="34" t="s">
        <v>355</v>
      </c>
      <c r="K4" s="34" t="s">
        <v>356</v>
      </c>
      <c r="L4" s="34" t="s">
        <v>357</v>
      </c>
      <c r="M4" s="34" t="s">
        <v>358</v>
      </c>
      <c r="N4" s="34" t="s">
        <v>359</v>
      </c>
      <c r="O4" s="34" t="s">
        <v>360</v>
      </c>
    </row>
    <row r="5" customFormat="false" ht="15" hidden="false" customHeight="true" outlineLevel="0" collapsed="false">
      <c r="A5" s="35" t="s">
        <v>361</v>
      </c>
      <c r="B5" s="46" t="n">
        <v>5</v>
      </c>
      <c r="C5" s="46" t="n">
        <v>3000</v>
      </c>
      <c r="D5" s="40" t="n">
        <v>600</v>
      </c>
      <c r="E5" s="69" t="n">
        <v>0</v>
      </c>
      <c r="F5" s="52" t="s">
        <v>208</v>
      </c>
      <c r="G5" s="59" t="n">
        <f aca="false">B5*Arbeitstage*(C5*INDEX(Preise!$B$5:$B$17,MATCH(F5,Preise!$A$5:$A$17,0))+D5*INDEX(Preise!$C$5:$C$17,MATCH(F5,Preise!$A$5:$A$17,0)))/1000000</f>
        <v>1.26</v>
      </c>
      <c r="H5" s="59" t="n">
        <f aca="false">B5*Arbeitstage*(IF(E5=0,C5*INDEX(Preise!$B$5:$B$17,MATCH(F5,Preise!$A$5:$A$17,0)),C5*(E5*INDEX(Preise!$F$5:$F$17,MATCH(F5,Preise!$A$5:$A$17,0))+(1-E5)*INDEX(Preise!$D$5:$D$17,MATCH(F5,Preise!$A$5:$A$17,0))))+D5*INDEX(Preise!$C$5:$C$17,MATCH(F5,Preise!$A$5:$A$17,0)))/1000000</f>
        <v>1.26</v>
      </c>
      <c r="I5" s="60" t="n">
        <f aca="false">H5/USD_je_EUR</f>
        <v>1.09565217391304</v>
      </c>
      <c r="J5" s="73" t="n">
        <f aca="false">Abo_Claude_Team</f>
        <v>20</v>
      </c>
      <c r="K5" s="74" t="n">
        <f aca="false">ROUNDUP(J5/((IF(E5=0,C5*INDEX(Preise!$B$5:$B$17,MATCH(F5,Preise!$A$5:$A$17,0)),C5*(E5*INDEX(Preise!$F$5:$F$17,MATCH(F5,Preise!$A$5:$A$17,0))+(1-E5)*INDEX(Preise!$D$5:$D$17,MATCH(F5,Preise!$A$5:$A$17,0))))+D5*INDEX(Preise!$C$5:$C$17,MATCH(F5,Preise!$A$5:$A$17,0)))/1000000)/Arbeitstage,0)</f>
        <v>80</v>
      </c>
      <c r="L5" s="74" t="n">
        <f aca="false">ROUNDUP(J5/((C5*INDEX(Preise!$B$5:$B$17,MATCH(F5,Preise!$A$5:$A$17,0))+D5*INDEX(Preise!$C$5:$C$17,MATCH(F5,Preise!$A$5:$A$17,0)))/1000000)/Arbeitstage,0)</f>
        <v>80</v>
      </c>
      <c r="M5" s="61" t="s">
        <v>362</v>
      </c>
      <c r="N5" s="59" t="n">
        <f aca="false">B5*Arbeitstage*(IF(E5=0,C5*INDEX(Preise!$B$5:$B$17,MATCH(F5,Preise!$A$5:$A$17,0)),C5*(E5/2*INDEX(Preise!$F$5:$F$17,MATCH(F5,Preise!$A$5:$A$17,0))+(1-E5/2)*INDEX(Preise!$D$5:$D$17,MATCH(F5,Preise!$A$5:$A$17,0))))+D5*INDEX(Preise!$C$5:$C$17,MATCH(F5,Preise!$A$5:$A$17,0)))/1000000</f>
        <v>1.26</v>
      </c>
      <c r="O5" s="59" t="n">
        <f aca="false">H5+B5*Arbeitstage*Denk_Tokens_Szenario*INDEX(Preise!$C$5:$C$17,MATCH(F5,Preise!$A$5:$A$17,0))/1000000</f>
        <v>2.31</v>
      </c>
    </row>
    <row r="6" customFormat="false" ht="15" hidden="false" customHeight="true" outlineLevel="0" collapsed="false">
      <c r="A6" s="35" t="s">
        <v>363</v>
      </c>
      <c r="B6" s="46" t="n">
        <v>20</v>
      </c>
      <c r="C6" s="46" t="n">
        <v>6000</v>
      </c>
      <c r="D6" s="40" t="n">
        <v>800</v>
      </c>
      <c r="E6" s="69" t="n">
        <v>0.5</v>
      </c>
      <c r="F6" s="52" t="s">
        <v>208</v>
      </c>
      <c r="G6" s="59" t="n">
        <f aca="false">B6*Arbeitstage*(C6*INDEX(Preise!$B$5:$B$17,MATCH(F6,Preise!$A$5:$A$17,0))+D6*INDEX(Preise!$C$5:$C$17,MATCH(F6,Preise!$A$5:$A$17,0)))/1000000</f>
        <v>8.4</v>
      </c>
      <c r="H6" s="59" t="n">
        <f aca="false">B6*Arbeitstage*(IF(E6=0,C6*INDEX(Preise!$B$5:$B$17,MATCH(F6,Preise!$A$5:$A$17,0)),C6*(E6*INDEX(Preise!$F$5:$F$17,MATCH(F6,Preise!$A$5:$A$17,0))+(1-E6)*INDEX(Preise!$D$5:$D$17,MATCH(F6,Preise!$A$5:$A$17,0))))+D6*INDEX(Preise!$C$5:$C$17,MATCH(F6,Preise!$A$5:$A$17,0)))/1000000</f>
        <v>6.636</v>
      </c>
      <c r="I6" s="60" t="n">
        <f aca="false">H6/USD_je_EUR</f>
        <v>5.7704347826087</v>
      </c>
      <c r="J6" s="73" t="n">
        <f aca="false">Abo_Claude_Team</f>
        <v>20</v>
      </c>
      <c r="K6" s="74" t="n">
        <f aca="false">ROUNDUP(J6/((IF(E6=0,C6*INDEX(Preise!$B$5:$B$17,MATCH(F6,Preise!$A$5:$A$17,0)),C6*(E6*INDEX(Preise!$F$5:$F$17,MATCH(F6,Preise!$A$5:$A$17,0))+(1-E6)*INDEX(Preise!$D$5:$D$17,MATCH(F6,Preise!$A$5:$A$17,0))))+D6*INDEX(Preise!$C$5:$C$17,MATCH(F6,Preise!$A$5:$A$17,0)))/1000000)/Arbeitstage,0)</f>
        <v>61</v>
      </c>
      <c r="L6" s="74" t="n">
        <f aca="false">ROUNDUP(J6/((C6*INDEX(Preise!$B$5:$B$17,MATCH(F6,Preise!$A$5:$A$17,0))+D6*INDEX(Preise!$C$5:$C$17,MATCH(F6,Preise!$A$5:$A$17,0)))/1000000)/Arbeitstage,0)</f>
        <v>48</v>
      </c>
      <c r="M6" s="61" t="s">
        <v>364</v>
      </c>
      <c r="N6" s="59" t="n">
        <f aca="false">B6*Arbeitstage*(IF(E6=0,C6*INDEX(Preise!$B$5:$B$17,MATCH(F6,Preise!$A$5:$A$17,0)),C6*(E6/2*INDEX(Preise!$F$5:$F$17,MATCH(F6,Preise!$A$5:$A$17,0))+(1-E6/2)*INDEX(Preise!$D$5:$D$17,MATCH(F6,Preise!$A$5:$A$17,0))))+D6*INDEX(Preise!$C$5:$C$17,MATCH(F6,Preise!$A$5:$A$17,0)))/1000000</f>
        <v>8.148</v>
      </c>
      <c r="O6" s="59" t="n">
        <f aca="false">H6+B6*Arbeitstage*Denk_Tokens_Szenario*INDEX(Preise!$C$5:$C$17,MATCH(F6,Preise!$A$5:$A$17,0))/1000000</f>
        <v>10.836</v>
      </c>
    </row>
    <row r="7" customFormat="false" ht="15" hidden="false" customHeight="true" outlineLevel="0" collapsed="false">
      <c r="A7" s="35" t="s">
        <v>365</v>
      </c>
      <c r="B7" s="46" t="n">
        <v>60</v>
      </c>
      <c r="C7" s="46" t="n">
        <v>15000</v>
      </c>
      <c r="D7" s="40" t="n">
        <v>1200</v>
      </c>
      <c r="E7" s="69" t="n">
        <v>0.8</v>
      </c>
      <c r="F7" s="52" t="s">
        <v>208</v>
      </c>
      <c r="G7" s="59" t="n">
        <f aca="false">B7*Arbeitstage*(C7*INDEX(Preise!$B$5:$B$17,MATCH(F7,Preise!$A$5:$A$17,0))+D7*INDEX(Preise!$C$5:$C$17,MATCH(F7,Preise!$A$5:$A$17,0)))/1000000</f>
        <v>52.92</v>
      </c>
      <c r="H7" s="59" t="n">
        <f aca="false">B7*Arbeitstage*(IF(E7=0,C7*INDEX(Preise!$B$5:$B$17,MATCH(F7,Preise!$A$5:$A$17,0)),C7*(E7*INDEX(Preise!$F$5:$F$17,MATCH(F7,Preise!$A$5:$A$17,0))+(1-E7)*INDEX(Preise!$D$5:$D$17,MATCH(F7,Preise!$A$5:$A$17,0))))+D7*INDEX(Preise!$C$5:$C$17,MATCH(F7,Preise!$A$5:$A$17,0)))/1000000</f>
        <v>26.082</v>
      </c>
      <c r="I7" s="60" t="n">
        <f aca="false">H7/USD_je_EUR</f>
        <v>22.68</v>
      </c>
      <c r="J7" s="73" t="n">
        <f aca="false">Abo_Claude_Team</f>
        <v>20</v>
      </c>
      <c r="K7" s="74" t="n">
        <f aca="false">ROUNDUP(J7/((IF(E7=0,C7*INDEX(Preise!$B$5:$B$17,MATCH(F7,Preise!$A$5:$A$17,0)),C7*(E7*INDEX(Preise!$F$5:$F$17,MATCH(F7,Preise!$A$5:$A$17,0))+(1-E7)*INDEX(Preise!$D$5:$D$17,MATCH(F7,Preise!$A$5:$A$17,0))))+D7*INDEX(Preise!$C$5:$C$17,MATCH(F7,Preise!$A$5:$A$17,0)))/1000000)/Arbeitstage,0)</f>
        <v>47</v>
      </c>
      <c r="L7" s="74" t="n">
        <f aca="false">ROUNDUP(J7/((C7*INDEX(Preise!$B$5:$B$17,MATCH(F7,Preise!$A$5:$A$17,0))+D7*INDEX(Preise!$C$5:$C$17,MATCH(F7,Preise!$A$5:$A$17,0)))/1000000)/Arbeitstage,0)</f>
        <v>23</v>
      </c>
      <c r="M7" s="61" t="s">
        <v>366</v>
      </c>
      <c r="N7" s="59" t="n">
        <f aca="false">B7*Arbeitstage*(IF(E7=0,C7*INDEX(Preise!$B$5:$B$17,MATCH(F7,Preise!$A$5:$A$17,0)),C7*(E7/2*INDEX(Preise!$F$5:$F$17,MATCH(F7,Preise!$A$5:$A$17,0))+(1-E7/2)*INDEX(Preise!$D$5:$D$17,MATCH(F7,Preise!$A$5:$A$17,0))))+D7*INDEX(Preise!$C$5:$C$17,MATCH(F7,Preise!$A$5:$A$17,0)))/1000000</f>
        <v>44.226</v>
      </c>
      <c r="O7" s="59" t="n">
        <f aca="false">H7+B7*Arbeitstage*Denk_Tokens_Szenario*INDEX(Preise!$C$5:$C$17,MATCH(F7,Preise!$A$5:$A$17,0))/1000000</f>
        <v>38.682</v>
      </c>
    </row>
    <row r="8" customFormat="false" ht="21.75" hidden="false" customHeight="true" outlineLevel="0" collapsed="false">
      <c r="A8" s="35" t="s">
        <v>367</v>
      </c>
      <c r="B8" s="46" t="n">
        <v>100</v>
      </c>
      <c r="C8" s="46" t="n">
        <v>40000</v>
      </c>
      <c r="D8" s="40" t="n">
        <v>1500</v>
      </c>
      <c r="E8" s="69" t="n">
        <v>0.9</v>
      </c>
      <c r="F8" s="52" t="s">
        <v>208</v>
      </c>
      <c r="G8" s="59" t="n">
        <f aca="false">B8*Arbeitstage*(C8*INDEX(Preise!$B$5:$B$17,MATCH(F8,Preise!$A$5:$A$17,0))+D8*INDEX(Preise!$C$5:$C$17,MATCH(F8,Preise!$A$5:$A$17,0)))/1000000</f>
        <v>199.5</v>
      </c>
      <c r="H8" s="59" t="n">
        <f aca="false">B8*Arbeitstage*(IF(E8=0,C8*INDEX(Preise!$B$5:$B$17,MATCH(F8,Preise!$A$5:$A$17,0)),C8*(E8*INDEX(Preise!$F$5:$F$17,MATCH(F8,Preise!$A$5:$A$17,0))+(1-E8)*INDEX(Preise!$D$5:$D$17,MATCH(F8,Preise!$A$5:$A$17,0))))+D8*INDEX(Preise!$C$5:$C$17,MATCH(F8,Preise!$A$5:$A$17,0)))/1000000</f>
        <v>60.06</v>
      </c>
      <c r="I8" s="60" t="n">
        <f aca="false">H8/USD_je_EUR</f>
        <v>52.2260869565218</v>
      </c>
      <c r="J8" s="73" t="n">
        <f aca="false">Abo_Claude_Team</f>
        <v>20</v>
      </c>
      <c r="K8" s="74" t="n">
        <f aca="false">ROUNDUP(J8/((IF(E8=0,C8*INDEX(Preise!$B$5:$B$17,MATCH(F8,Preise!$A$5:$A$17,0)),C8*(E8*INDEX(Preise!$F$5:$F$17,MATCH(F8,Preise!$A$5:$A$17,0))+(1-E8)*INDEX(Preise!$D$5:$D$17,MATCH(F8,Preise!$A$5:$A$17,0))))+D8*INDEX(Preise!$C$5:$C$17,MATCH(F8,Preise!$A$5:$A$17,0)))/1000000)/Arbeitstage,0)</f>
        <v>34</v>
      </c>
      <c r="L8" s="74" t="n">
        <f aca="false">ROUNDUP(J8/((C8*INDEX(Preise!$B$5:$B$17,MATCH(F8,Preise!$A$5:$A$17,0))+D8*INDEX(Preise!$C$5:$C$17,MATCH(F8,Preise!$A$5:$A$17,0)))/1000000)/Arbeitstage,0)</f>
        <v>11</v>
      </c>
      <c r="M8" s="61" t="s">
        <v>368</v>
      </c>
      <c r="N8" s="59" t="n">
        <f aca="false">B8*Arbeitstage*(IF(E8=0,C8*INDEX(Preise!$B$5:$B$17,MATCH(F8,Preise!$A$5:$A$17,0)),C8*(E8/2*INDEX(Preise!$F$5:$F$17,MATCH(F8,Preise!$A$5:$A$17,0))+(1-E8/2)*INDEX(Preise!$D$5:$D$17,MATCH(F8,Preise!$A$5:$A$17,0))))+D8*INDEX(Preise!$C$5:$C$17,MATCH(F8,Preise!$A$5:$A$17,0)))/1000000</f>
        <v>150.78</v>
      </c>
      <c r="O8" s="59" t="n">
        <f aca="false">H8+B8*Arbeitstage*Denk_Tokens_Szenario*INDEX(Preise!$C$5:$C$17,MATCH(F8,Preise!$A$5:$A$17,0))/1000000</f>
        <v>81.06</v>
      </c>
    </row>
    <row r="10" customFormat="false" ht="15" hidden="false" customHeight="true" outlineLevel="0" collapsed="false">
      <c r="A10" s="68" t="s">
        <v>369</v>
      </c>
    </row>
    <row r="11" customFormat="false" ht="15" hidden="false" customHeight="true" outlineLevel="0" collapsed="false">
      <c r="A11" s="75" t="s">
        <v>370</v>
      </c>
      <c r="B11" s="75" t="s">
        <v>371</v>
      </c>
      <c r="C11" s="75" t="s">
        <v>372</v>
      </c>
      <c r="D11" s="75" t="s">
        <v>373</v>
      </c>
      <c r="E11" s="75" t="s">
        <v>374</v>
      </c>
      <c r="F11" s="75" t="s">
        <v>375</v>
      </c>
    </row>
    <row r="12" customFormat="false" ht="15" hidden="false" customHeight="true" outlineLevel="0" collapsed="false">
      <c r="A12" s="76" t="str">
        <f aca="false">A5</f>
        <v>P1 gelegentlich</v>
      </c>
      <c r="B12" s="46" t="n">
        <v>3</v>
      </c>
      <c r="C12" s="59" t="n">
        <f aca="false">B12*G5</f>
        <v>3.78</v>
      </c>
      <c r="D12" s="59" t="n">
        <f aca="false">B12*H5</f>
        <v>3.78</v>
      </c>
      <c r="E12" s="59" t="n">
        <f aca="false">B12*N5</f>
        <v>3.78</v>
      </c>
      <c r="F12" s="59" t="n">
        <f aca="false">B12*O5</f>
        <v>6.93</v>
      </c>
    </row>
    <row r="13" customFormat="false" ht="15" hidden="false" customHeight="true" outlineLevel="0" collapsed="false">
      <c r="A13" s="76" t="str">
        <f aca="false">A6</f>
        <v>P2 regelmäßig</v>
      </c>
      <c r="B13" s="46" t="n">
        <v>4</v>
      </c>
      <c r="C13" s="59" t="n">
        <f aca="false">B13*G6</f>
        <v>33.6</v>
      </c>
      <c r="D13" s="59" t="n">
        <f aca="false">B13*H6</f>
        <v>26.544</v>
      </c>
      <c r="E13" s="59" t="n">
        <f aca="false">B13*N6</f>
        <v>32.592</v>
      </c>
      <c r="F13" s="59" t="n">
        <f aca="false">B13*O6</f>
        <v>43.344</v>
      </c>
    </row>
    <row r="14" customFormat="false" ht="15" hidden="false" customHeight="true" outlineLevel="0" collapsed="false">
      <c r="A14" s="76" t="str">
        <f aca="false">A7</f>
        <v>P3 intensiv mit Dokumenten</v>
      </c>
      <c r="B14" s="46" t="n">
        <v>2</v>
      </c>
      <c r="C14" s="59" t="n">
        <f aca="false">B14*G7</f>
        <v>105.84</v>
      </c>
      <c r="D14" s="59" t="n">
        <f aca="false">B14*H7</f>
        <v>52.164</v>
      </c>
      <c r="E14" s="59" t="n">
        <f aca="false">B14*N7</f>
        <v>88.452</v>
      </c>
      <c r="F14" s="59" t="n">
        <f aca="false">B14*O7</f>
        <v>77.364</v>
      </c>
    </row>
    <row r="15" customFormat="false" ht="15" hidden="false" customHeight="true" outlineLevel="0" collapsed="false">
      <c r="A15" s="76" t="str">
        <f aca="false">A8</f>
        <v>P4 Dauernutzung, lange Dokumente</v>
      </c>
      <c r="B15" s="46" t="n">
        <v>1</v>
      </c>
      <c r="C15" s="59" t="n">
        <f aca="false">B15*G8</f>
        <v>199.5</v>
      </c>
      <c r="D15" s="59" t="n">
        <f aca="false">B15*H8</f>
        <v>60.06</v>
      </c>
      <c r="E15" s="59" t="n">
        <f aca="false">B15*N8</f>
        <v>150.78</v>
      </c>
      <c r="F15" s="59" t="n">
        <f aca="false">B15*O8</f>
        <v>81.06</v>
      </c>
    </row>
    <row r="16" customFormat="false" ht="15" hidden="false" customHeight="true" outlineLevel="0" collapsed="false">
      <c r="A16" s="35" t="s">
        <v>376</v>
      </c>
      <c r="B16" s="74" t="n">
        <f aca="false">SUM(B12:B15)</f>
        <v>10</v>
      </c>
    </row>
    <row r="17" customFormat="false" ht="15" hidden="false" customHeight="true" outlineLevel="0" collapsed="false">
      <c r="A17" s="35" t="s">
        <v>377</v>
      </c>
      <c r="B17" s="59" t="n">
        <f aca="false">SUM(C12:C15)</f>
        <v>342.72</v>
      </c>
    </row>
    <row r="18" customFormat="false" ht="15" hidden="false" customHeight="true" outlineLevel="0" collapsed="false">
      <c r="A18" s="35" t="s">
        <v>378</v>
      </c>
      <c r="B18" s="59" t="n">
        <f aca="false">SUM(D12:D15)</f>
        <v>142.548</v>
      </c>
    </row>
    <row r="19" customFormat="false" ht="15" hidden="false" customHeight="true" outlineLevel="0" collapsed="false">
      <c r="A19" s="35" t="s">
        <v>379</v>
      </c>
      <c r="B19" s="59" t="n">
        <f aca="false">SUM(E12:E15)</f>
        <v>275.604</v>
      </c>
    </row>
    <row r="20" customFormat="false" ht="15" hidden="false" customHeight="true" outlineLevel="0" collapsed="false">
      <c r="A20" s="35" t="s">
        <v>380</v>
      </c>
      <c r="B20" s="59" t="n">
        <f aca="false">SUM(F12:F15)</f>
        <v>208.698</v>
      </c>
    </row>
    <row r="21" customFormat="false" ht="15" hidden="false" customHeight="true" outlineLevel="0" collapsed="false">
      <c r="A21" s="35" t="s">
        <v>381</v>
      </c>
      <c r="B21" s="77" t="n">
        <v>40</v>
      </c>
      <c r="C21" s="48" t="s">
        <v>382</v>
      </c>
    </row>
    <row r="22" customFormat="false" ht="15" hidden="false" customHeight="true" outlineLevel="0" collapsed="false">
      <c r="A22" s="35" t="s">
        <v>383</v>
      </c>
      <c r="B22" s="78" t="n">
        <v>2</v>
      </c>
      <c r="C22" s="48" t="s">
        <v>384</v>
      </c>
    </row>
    <row r="23" customFormat="false" ht="15" hidden="false" customHeight="true" outlineLevel="0" collapsed="false">
      <c r="A23" s="35" t="s">
        <v>385</v>
      </c>
      <c r="B23" s="59" t="n">
        <f aca="false">B16*Abo_Claude_Team</f>
        <v>200</v>
      </c>
    </row>
    <row r="24" customFormat="false" ht="15" hidden="false" customHeight="true" outlineLevel="0" collapsed="false">
      <c r="A24" s="35" t="s">
        <v>386</v>
      </c>
      <c r="B24" s="59" t="n">
        <f aca="false">MIN(B16*Credit_Claude_Team,Credit_Pool_Max)</f>
        <v>200</v>
      </c>
    </row>
    <row r="25" customFormat="false" ht="15" hidden="false" customHeight="true" outlineLevel="0" collapsed="false">
      <c r="A25" s="54" t="s">
        <v>387</v>
      </c>
      <c r="B25" s="57" t="n">
        <f aca="false">(B17+B21)/USD_je_EUR+B22*Stundensatz</f>
        <v>422.8</v>
      </c>
    </row>
    <row r="26" customFormat="false" ht="15" hidden="false" customHeight="true" outlineLevel="0" collapsed="false">
      <c r="A26" s="54" t="s">
        <v>388</v>
      </c>
      <c r="B26" s="57" t="n">
        <f aca="false">(B18+B21)/USD_je_EUR+B22*Stundensatz</f>
        <v>248.737391304348</v>
      </c>
    </row>
    <row r="27" customFormat="false" ht="15" hidden="false" customHeight="true" outlineLevel="0" collapsed="false">
      <c r="A27" s="35" t="s">
        <v>389</v>
      </c>
      <c r="B27" s="60" t="n">
        <f aca="false">(B18+B21)/USD_je_EUR</f>
        <v>158.737391304348</v>
      </c>
    </row>
    <row r="28" customFormat="false" ht="15" hidden="false" customHeight="true" outlineLevel="0" collapsed="false">
      <c r="A28" s="35" t="s">
        <v>390</v>
      </c>
      <c r="B28" s="60" t="n">
        <f aca="false">(B19+B21)/USD_je_EUR+B22*Stundensatz</f>
        <v>364.438260869565</v>
      </c>
    </row>
    <row r="29" customFormat="false" ht="15" hidden="false" customHeight="true" outlineLevel="0" collapsed="false">
      <c r="A29" s="35" t="s">
        <v>391</v>
      </c>
      <c r="B29" s="60" t="n">
        <f aca="false">(B20+B21)/USD_je_EUR+B22*Stundensatz</f>
        <v>306.259130434783</v>
      </c>
    </row>
    <row r="30" customFormat="false" ht="15" hidden="false" customHeight="true" outlineLevel="0" collapsed="false">
      <c r="A30" s="54" t="s">
        <v>392</v>
      </c>
      <c r="B30" s="57" t="n">
        <f aca="false">(B23+MAX(0,B21-B24))/USD_je_EUR</f>
        <v>173.913043478261</v>
      </c>
    </row>
    <row r="31" customFormat="false" ht="15" hidden="false" customHeight="true" outlineLevel="0" collapsed="false">
      <c r="A31" s="35" t="s">
        <v>393</v>
      </c>
      <c r="B31" s="60" t="n">
        <f aca="false">(B23-Abo_Claude_Team+Abo_Claude_Team_Premium+MAX(0,B21-MIN((B16-1)*Credit_Claude_Team+Abo_Claude_Team_Premium,Credit_Pool_Max)))/USD_je_EUR</f>
        <v>243.478260869565</v>
      </c>
      <c r="C31" s="48" t="s">
        <v>394</v>
      </c>
    </row>
    <row r="32" customFormat="false" ht="15" hidden="false" customHeight="true" outlineLevel="0" collapsed="false">
      <c r="A32" s="54" t="s">
        <v>395</v>
      </c>
      <c r="B32" s="57" t="n">
        <f aca="false">(B23+B21)/USD_je_EUR</f>
        <v>208.695652173913</v>
      </c>
    </row>
    <row r="33" customFormat="false" ht="15" hidden="false" customHeight="true" outlineLevel="0" collapsed="false">
      <c r="A33" s="35" t="s">
        <v>396</v>
      </c>
      <c r="B33" s="46" t="n">
        <v>5</v>
      </c>
      <c r="C33" s="48" t="s">
        <v>151</v>
      </c>
    </row>
    <row r="34" customFormat="false" ht="15" hidden="false" customHeight="true" outlineLevel="0" collapsed="false">
      <c r="A34" s="35" t="s">
        <v>397</v>
      </c>
      <c r="B34" s="60" t="n">
        <f aca="false">B33*(Abo_Claude_Team-H5)/USD_je_EUR</f>
        <v>81.4782608695652</v>
      </c>
      <c r="C34" s="48" t="s">
        <v>398</v>
      </c>
    </row>
    <row r="36" customFormat="false" ht="15" hidden="false" customHeight="true" outlineLevel="0" collapsed="false">
      <c r="A36" s="68" t="s">
        <v>399</v>
      </c>
    </row>
    <row r="37" customFormat="false" ht="15" hidden="false" customHeight="true" outlineLevel="0" collapsed="false">
      <c r="A37" s="35" t="s">
        <v>400</v>
      </c>
      <c r="B37" s="46" t="n">
        <v>12</v>
      </c>
    </row>
    <row r="38" customFormat="false" ht="15" hidden="false" customHeight="true" outlineLevel="0" collapsed="false">
      <c r="A38" s="35" t="s">
        <v>401</v>
      </c>
      <c r="B38" s="46" t="n">
        <v>8</v>
      </c>
    </row>
    <row r="39" customFormat="false" ht="15" hidden="false" customHeight="true" outlineLevel="0" collapsed="false">
      <c r="A39" s="35" t="s">
        <v>402</v>
      </c>
      <c r="B39" s="46" t="n">
        <v>4</v>
      </c>
    </row>
    <row r="40" customFormat="false" ht="15" hidden="false" customHeight="true" outlineLevel="0" collapsed="false">
      <c r="A40" s="35" t="s">
        <v>403</v>
      </c>
      <c r="B40" s="46" t="n">
        <v>1</v>
      </c>
    </row>
    <row r="41" customFormat="false" ht="15" hidden="false" customHeight="true" outlineLevel="0" collapsed="false">
      <c r="A41" s="35" t="s">
        <v>404</v>
      </c>
      <c r="B41" s="74" t="n">
        <f aca="false">B37+B38+B39+B40</f>
        <v>25</v>
      </c>
    </row>
    <row r="42" customFormat="false" ht="15" hidden="false" customHeight="true" outlineLevel="0" collapsed="false">
      <c r="A42" s="35" t="s">
        <v>405</v>
      </c>
      <c r="B42" s="59" t="n">
        <f aca="false">B37*H5+B38*H6+B39*H7+B40*H8</f>
        <v>232.596</v>
      </c>
    </row>
    <row r="43" customFormat="false" ht="15" hidden="false" customHeight="true" outlineLevel="0" collapsed="false">
      <c r="A43" s="54" t="s">
        <v>406</v>
      </c>
      <c r="B43" s="57" t="n">
        <f aca="false">(B42+B21)/USD_je_EUR+B22*Stundensatz</f>
        <v>327.04</v>
      </c>
    </row>
    <row r="44" customFormat="false" ht="15" hidden="false" customHeight="true" outlineLevel="0" collapsed="false">
      <c r="A44" s="54" t="s">
        <v>407</v>
      </c>
      <c r="B44" s="57" t="n">
        <f aca="false">(B41*Abo_Claude_Team+MAX(0,B21-MIN(B41*Credit_Claude_Team,Credit_Pool_Max)))/USD_je_EUR</f>
        <v>434.782608695652</v>
      </c>
    </row>
    <row r="45" customFormat="false" ht="15" hidden="false" customHeight="true" outlineLevel="0" collapsed="false">
      <c r="A45" s="54" t="s">
        <v>408</v>
      </c>
      <c r="B45" s="57" t="n">
        <f aca="false">((B39+B40)*Abo_Claude_Team+MAX(0,B21-MIN((B39+B40)*Credit_Claude_Team,Credit_Pool_Max)))/USD_je_EUR</f>
        <v>86.9565217391304</v>
      </c>
      <c r="C45" s="48" t="s">
        <v>409</v>
      </c>
    </row>
    <row r="47" customFormat="false" ht="15" hidden="false" customHeight="true" outlineLevel="0" collapsed="false">
      <c r="A47" s="68" t="s">
        <v>410</v>
      </c>
    </row>
    <row r="48" customFormat="false" ht="15" hidden="false" customHeight="true" outlineLevel="0" collapsed="false">
      <c r="A48" s="35" t="s">
        <v>411</v>
      </c>
      <c r="B48" s="79" t="n">
        <v>5000</v>
      </c>
      <c r="C48" s="48" t="s">
        <v>412</v>
      </c>
    </row>
    <row r="49" customFormat="false" ht="15" hidden="false" customHeight="true" outlineLevel="0" collapsed="false">
      <c r="A49" s="35" t="s">
        <v>413</v>
      </c>
      <c r="B49" s="40" t="n">
        <v>36</v>
      </c>
      <c r="C49" s="48" t="s">
        <v>151</v>
      </c>
    </row>
    <row r="50" customFormat="false" ht="15" hidden="false" customHeight="true" outlineLevel="0" collapsed="false">
      <c r="A50" s="35" t="s">
        <v>414</v>
      </c>
      <c r="B50" s="38" t="n">
        <v>0.15</v>
      </c>
      <c r="C50" s="48" t="s">
        <v>151</v>
      </c>
    </row>
    <row r="51" customFormat="false" ht="15" hidden="false" customHeight="true" outlineLevel="0" collapsed="false">
      <c r="A51" s="35" t="s">
        <v>415</v>
      </c>
      <c r="B51" s="40" t="n">
        <v>8</v>
      </c>
      <c r="C51" s="48" t="s">
        <v>151</v>
      </c>
    </row>
    <row r="52" customFormat="false" ht="15" hidden="false" customHeight="true" outlineLevel="0" collapsed="false">
      <c r="A52" s="35" t="s">
        <v>416</v>
      </c>
      <c r="B52" s="78" t="n">
        <v>4</v>
      </c>
      <c r="C52" s="48" t="s">
        <v>417</v>
      </c>
    </row>
    <row r="53" customFormat="false" ht="15" hidden="false" customHeight="true" outlineLevel="0" collapsed="false">
      <c r="A53" s="35" t="s">
        <v>418</v>
      </c>
      <c r="B53" s="60" t="n">
        <f aca="false">B48/B49</f>
        <v>138.888888888889</v>
      </c>
    </row>
    <row r="54" customFormat="false" ht="15" hidden="false" customHeight="true" outlineLevel="0" collapsed="false">
      <c r="A54" s="35" t="s">
        <v>419</v>
      </c>
      <c r="B54" s="60" t="n">
        <f aca="false">B50*B51*Arbeitstage*Strompreis</f>
        <v>7.56</v>
      </c>
    </row>
    <row r="55" customFormat="false" ht="15" hidden="false" customHeight="true" outlineLevel="0" collapsed="false">
      <c r="A55" s="35" t="s">
        <v>420</v>
      </c>
      <c r="B55" s="60" t="n">
        <f aca="false">B52*Stundensatz</f>
        <v>180</v>
      </c>
    </row>
    <row r="56" customFormat="false" ht="15" hidden="false" customHeight="true" outlineLevel="0" collapsed="false">
      <c r="A56" s="54" t="s">
        <v>421</v>
      </c>
      <c r="B56" s="57" t="n">
        <f aca="false">B53+B54+B55</f>
        <v>326.448888888889</v>
      </c>
      <c r="C56" s="48" t="s">
        <v>422</v>
      </c>
    </row>
    <row r="58" customFormat="false" ht="15" hidden="false" customHeight="true" outlineLevel="0" collapsed="false">
      <c r="A58" s="68" t="s">
        <v>423</v>
      </c>
    </row>
    <row r="59" customFormat="false" ht="15" hidden="false" customHeight="true" outlineLevel="0" collapsed="false">
      <c r="A59" s="35" t="s">
        <v>424</v>
      </c>
      <c r="B59" s="74" t="n">
        <f aca="false">B16</f>
        <v>10</v>
      </c>
    </row>
    <row r="60" customFormat="false" ht="15" hidden="false" customHeight="true" outlineLevel="0" collapsed="false">
      <c r="A60" s="54" t="s">
        <v>425</v>
      </c>
      <c r="B60" s="57" t="n">
        <f aca="false">B59*Abo_Copilot_Business</f>
        <v>182</v>
      </c>
      <c r="C60" s="48" t="s">
        <v>426</v>
      </c>
    </row>
  </sheetData>
  <sheetProtection sheet="true" formatColumns="false" formatRows="false"/>
  <dataValidations count="1">
    <dataValidation allowBlank="false" errorStyle="stop" operator="between" showDropDown="false" showErrorMessage="false" showInputMessage="false" sqref="F5:F8" type="list">
      <formula1>Preise!$A$5:$A$17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9" width="52"/>
    <col collapsed="false" customWidth="true" hidden="false" outlineLevel="0" max="2" min="2" style="29" width="14"/>
    <col collapsed="false" customWidth="true" hidden="false" outlineLevel="0" max="3" min="3" style="29" width="60"/>
  </cols>
  <sheetData>
    <row r="1" customFormat="false" ht="17.25" hidden="false" customHeight="true" outlineLevel="0" collapsed="false">
      <c r="A1" s="33" t="s">
        <v>427</v>
      </c>
    </row>
    <row r="2" customFormat="false" ht="15" hidden="false" customHeight="true" outlineLevel="0" collapsed="false">
      <c r="A2" s="48" t="s">
        <v>428</v>
      </c>
    </row>
    <row r="4" customFormat="false" ht="15" hidden="false" customHeight="true" outlineLevel="0" collapsed="false">
      <c r="A4" s="35" t="s">
        <v>429</v>
      </c>
      <c r="B4" s="79" t="n">
        <v>42000</v>
      </c>
      <c r="C4" s="48" t="s">
        <v>151</v>
      </c>
    </row>
    <row r="5" customFormat="false" ht="15" hidden="false" customHeight="true" outlineLevel="0" collapsed="false">
      <c r="A5" s="35" t="s">
        <v>430</v>
      </c>
      <c r="B5" s="69" t="n">
        <v>0.22</v>
      </c>
      <c r="C5" s="48" t="s">
        <v>431</v>
      </c>
    </row>
    <row r="6" customFormat="false" ht="15" hidden="false" customHeight="true" outlineLevel="0" collapsed="false">
      <c r="A6" s="35" t="s">
        <v>432</v>
      </c>
      <c r="B6" s="40" t="n">
        <v>40</v>
      </c>
      <c r="C6" s="48" t="s">
        <v>151</v>
      </c>
    </row>
    <row r="7" customFormat="false" ht="15" hidden="false" customHeight="true" outlineLevel="0" collapsed="false">
      <c r="A7" s="35" t="s">
        <v>433</v>
      </c>
      <c r="B7" s="40" t="n">
        <v>260</v>
      </c>
      <c r="C7" s="48"/>
    </row>
    <row r="8" customFormat="false" ht="15" hidden="false" customHeight="true" outlineLevel="0" collapsed="false">
      <c r="A8" s="35" t="s">
        <v>434</v>
      </c>
      <c r="B8" s="40" t="n">
        <v>30</v>
      </c>
      <c r="C8" s="48" t="s">
        <v>151</v>
      </c>
    </row>
    <row r="9" customFormat="false" ht="15" hidden="false" customHeight="true" outlineLevel="0" collapsed="false">
      <c r="A9" s="35" t="s">
        <v>435</v>
      </c>
      <c r="B9" s="40" t="n">
        <v>10</v>
      </c>
      <c r="C9" s="48" t="s">
        <v>151</v>
      </c>
    </row>
    <row r="10" customFormat="false" ht="15" hidden="false" customHeight="true" outlineLevel="0" collapsed="false">
      <c r="A10" s="35" t="s">
        <v>436</v>
      </c>
      <c r="B10" s="40" t="n">
        <v>12</v>
      </c>
      <c r="C10" s="48" t="s">
        <v>151</v>
      </c>
    </row>
    <row r="12" customFormat="false" ht="15" hidden="false" customHeight="true" outlineLevel="0" collapsed="false">
      <c r="A12" s="54" t="s">
        <v>437</v>
      </c>
      <c r="B12" s="74" t="n">
        <f aca="false">(B7-B8-B9-B10)*B6/5</f>
        <v>1664</v>
      </c>
    </row>
    <row r="13" customFormat="false" ht="15" hidden="false" customHeight="true" outlineLevel="0" collapsed="false">
      <c r="A13" s="54" t="s">
        <v>38</v>
      </c>
      <c r="B13" s="57" t="n">
        <f aca="false">B4*(1+B5)/B12</f>
        <v>30.7932692307692</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9" width="60"/>
    <col collapsed="false" customWidth="true" hidden="false" outlineLevel="0" max="5" min="2" style="29" width="16"/>
    <col collapsed="false" customWidth="true" hidden="false" outlineLevel="0" max="6" min="6" style="29" width="80"/>
  </cols>
  <sheetData>
    <row r="1" customFormat="false" ht="17.25" hidden="false" customHeight="true" outlineLevel="0" collapsed="false">
      <c r="A1" s="33" t="s">
        <v>438</v>
      </c>
    </row>
    <row r="2" customFormat="false" ht="15" hidden="false" customHeight="true" outlineLevel="0" collapsed="false">
      <c r="A2" s="48" t="s">
        <v>439</v>
      </c>
    </row>
    <row r="4" customFormat="false" ht="23.25" hidden="false" customHeight="true" outlineLevel="0" collapsed="false">
      <c r="A4" s="34" t="s">
        <v>440</v>
      </c>
      <c r="B4" s="34" t="s">
        <v>441</v>
      </c>
      <c r="C4" s="34" t="s">
        <v>442</v>
      </c>
      <c r="D4" s="34" t="s">
        <v>443</v>
      </c>
      <c r="E4" s="34" t="s">
        <v>23</v>
      </c>
      <c r="F4" s="34" t="s">
        <v>444</v>
      </c>
    </row>
    <row r="5" customFormat="false" ht="15" hidden="false" customHeight="true" outlineLevel="0" collapsed="false">
      <c r="A5" s="68" t="s">
        <v>41</v>
      </c>
    </row>
    <row r="6" customFormat="false" ht="15" hidden="false" customHeight="true" outlineLevel="0" collapsed="false">
      <c r="A6" s="35" t="s">
        <v>445</v>
      </c>
      <c r="B6" s="40" t="n">
        <v>3000</v>
      </c>
      <c r="C6" s="74" t="n">
        <f aca="false">$B6</f>
        <v>3000</v>
      </c>
      <c r="D6" s="74" t="n">
        <f aca="false">$B6</f>
        <v>3000</v>
      </c>
      <c r="E6" s="35" t="s">
        <v>153</v>
      </c>
      <c r="F6" s="61" t="s">
        <v>446</v>
      </c>
    </row>
    <row r="7" customFormat="false" ht="15" hidden="false" customHeight="true" outlineLevel="0" collapsed="false">
      <c r="A7" s="35" t="s">
        <v>447</v>
      </c>
      <c r="B7" s="40" t="n">
        <v>500</v>
      </c>
      <c r="C7" s="74" t="n">
        <f aca="false">$B7</f>
        <v>500</v>
      </c>
      <c r="D7" s="74" t="n">
        <f aca="false">$B7</f>
        <v>500</v>
      </c>
      <c r="E7" s="35" t="s">
        <v>153</v>
      </c>
      <c r="F7" s="61" t="s">
        <v>448</v>
      </c>
    </row>
    <row r="8" customFormat="false" ht="15" hidden="false" customHeight="true" outlineLevel="0" collapsed="false">
      <c r="A8" s="35" t="s">
        <v>449</v>
      </c>
      <c r="B8" s="40" t="n">
        <v>0</v>
      </c>
      <c r="C8" s="74" t="n">
        <f aca="false">$B8</f>
        <v>0</v>
      </c>
      <c r="D8" s="74" t="n">
        <f aca="false">$B8</f>
        <v>0</v>
      </c>
      <c r="E8" s="35" t="s">
        <v>153</v>
      </c>
      <c r="F8" s="61" t="s">
        <v>450</v>
      </c>
    </row>
    <row r="9" customFormat="false" ht="15" hidden="false" customHeight="true" outlineLevel="0" collapsed="false">
      <c r="A9" s="35" t="s">
        <v>195</v>
      </c>
      <c r="B9" s="52" t="s">
        <v>208</v>
      </c>
      <c r="C9" s="35" t="str">
        <f aca="false">$B9</f>
        <v>Claude Sonnet 5.5</v>
      </c>
      <c r="D9" s="35" t="str">
        <f aca="false">$B9</f>
        <v>Claude Sonnet 5.5</v>
      </c>
      <c r="E9" s="35"/>
      <c r="F9" s="61" t="s">
        <v>451</v>
      </c>
    </row>
    <row r="10" customFormat="false" ht="15" hidden="false" customHeight="true" outlineLevel="0" collapsed="false">
      <c r="A10" s="54" t="s">
        <v>41</v>
      </c>
      <c r="B10" s="56" t="n">
        <f aca="false">(B6*INDEX(Preise!$B$5:$B$17,MATCH(B9,Preise!$A$5:$A$17,0))+(B7+B8)*INDEX(Preise!$C$5:$C$17,MATCH(B9,Preise!$A$5:$A$17,0)))/1000000/USD_je_EUR</f>
        <v>0.00956521739130435</v>
      </c>
      <c r="C10" s="56" t="n">
        <f aca="false">(C6*INDEX(Preise!$B$5:$B$17,MATCH(C9,Preise!$A$5:$A$17,0))+(C7+C8)*INDEX(Preise!$C$5:$C$17,MATCH(C9,Preise!$A$5:$A$17,0)))/1000000/USD_je_EUR</f>
        <v>0.00956521739130435</v>
      </c>
      <c r="D10" s="56" t="n">
        <f aca="false">(D6*INDEX(Preise!$B$5:$B$17,MATCH(D9,Preise!$A$5:$A$17,0))+(D7+D8)*INDEX(Preise!$C$5:$C$17,MATCH(D9,Preise!$A$5:$A$17,0)))/1000000/USD_je_EUR</f>
        <v>0.00956521739130435</v>
      </c>
      <c r="E10" s="35" t="s">
        <v>452</v>
      </c>
      <c r="F10" s="53" t="s">
        <v>453</v>
      </c>
    </row>
    <row r="11" customFormat="false" ht="15" hidden="false" customHeight="true" outlineLevel="0" collapsed="false">
      <c r="A11" s="35" t="s">
        <v>454</v>
      </c>
      <c r="B11" s="56" t="n">
        <f aca="false">B10+Denk_Tokens_Szenario*INDEX(Preise!$C$5:$C$17,MATCH(B9,Preise!$A$5:$A$17,0))/1000000/USD_je_EUR</f>
        <v>0.0182608695652174</v>
      </c>
      <c r="C11" s="56" t="n">
        <f aca="false">C10+Denk_Tokens_Szenario*INDEX(Preise!$C$5:$C$17,MATCH(C9,Preise!$A$5:$A$17,0))/1000000/USD_je_EUR</f>
        <v>0.0182608695652174</v>
      </c>
      <c r="D11" s="56" t="n">
        <f aca="false">D10+Denk_Tokens_Szenario*INDEX(Preise!$C$5:$C$17,MATCH(D9,Preise!$A$5:$A$17,0))/1000000/USD_je_EUR</f>
        <v>0.0182608695652174</v>
      </c>
      <c r="E11" s="35" t="s">
        <v>452</v>
      </c>
      <c r="F11" s="61" t="s">
        <v>455</v>
      </c>
    </row>
    <row r="12" customFormat="false" ht="15" hidden="false" customHeight="true" outlineLevel="0" collapsed="false">
      <c r="A12" s="68" t="s">
        <v>456</v>
      </c>
    </row>
    <row r="13" customFormat="false" ht="15" hidden="false" customHeight="true" outlineLevel="0" collapsed="false">
      <c r="A13" s="35" t="s">
        <v>25</v>
      </c>
      <c r="B13" s="46" t="n">
        <v>150</v>
      </c>
      <c r="C13" s="46" t="n">
        <v>600</v>
      </c>
      <c r="D13" s="46" t="n">
        <v>2500</v>
      </c>
      <c r="E13" s="35" t="s">
        <v>26</v>
      </c>
      <c r="F13" s="61" t="s">
        <v>457</v>
      </c>
    </row>
    <row r="14" customFormat="false" ht="15" hidden="false" customHeight="true" outlineLevel="0" collapsed="false">
      <c r="A14" s="35" t="s">
        <v>458</v>
      </c>
      <c r="B14" s="78" t="n">
        <v>6</v>
      </c>
      <c r="C14" s="78" t="n">
        <v>6</v>
      </c>
      <c r="D14" s="78" t="n">
        <v>6</v>
      </c>
      <c r="E14" s="35" t="s">
        <v>29</v>
      </c>
      <c r="F14" s="61" t="s">
        <v>459</v>
      </c>
    </row>
    <row r="15" customFormat="false" ht="15" hidden="false" customHeight="true" outlineLevel="0" collapsed="false">
      <c r="A15" s="35" t="s">
        <v>460</v>
      </c>
      <c r="B15" s="78" t="n">
        <v>2</v>
      </c>
      <c r="C15" s="78" t="n">
        <v>2</v>
      </c>
      <c r="D15" s="78" t="n">
        <v>2</v>
      </c>
      <c r="E15" s="35" t="s">
        <v>29</v>
      </c>
      <c r="F15" s="61" t="s">
        <v>461</v>
      </c>
    </row>
    <row r="16" customFormat="false" ht="15" hidden="false" customHeight="true" outlineLevel="0" collapsed="false">
      <c r="A16" s="35" t="s">
        <v>462</v>
      </c>
      <c r="B16" s="69" t="n">
        <v>0.08</v>
      </c>
      <c r="C16" s="69" t="n">
        <v>0.08</v>
      </c>
      <c r="D16" s="69" t="n">
        <v>0.08</v>
      </c>
      <c r="E16" s="35" t="s">
        <v>34</v>
      </c>
      <c r="F16" s="61" t="s">
        <v>463</v>
      </c>
    </row>
    <row r="17" customFormat="false" ht="15" hidden="false" customHeight="true" outlineLevel="0" collapsed="false">
      <c r="A17" s="35" t="s">
        <v>464</v>
      </c>
      <c r="B17" s="80" t="n">
        <v>5</v>
      </c>
      <c r="C17" s="80" t="n">
        <v>5</v>
      </c>
      <c r="D17" s="80" t="n">
        <v>5</v>
      </c>
      <c r="E17" s="35" t="s">
        <v>29</v>
      </c>
      <c r="F17" s="61" t="s">
        <v>465</v>
      </c>
    </row>
    <row r="18" customFormat="false" ht="15" hidden="false" customHeight="true" outlineLevel="0" collapsed="false">
      <c r="A18" s="35" t="s">
        <v>44</v>
      </c>
      <c r="B18" s="45" t="n">
        <v>25</v>
      </c>
      <c r="C18" s="45" t="n">
        <v>50</v>
      </c>
      <c r="D18" s="45" t="n">
        <v>150</v>
      </c>
      <c r="E18" s="35" t="s">
        <v>466</v>
      </c>
      <c r="F18" s="61" t="s">
        <v>467</v>
      </c>
    </row>
    <row r="19" customFormat="false" ht="15" hidden="false" customHeight="true" outlineLevel="0" collapsed="false">
      <c r="A19" s="35" t="s">
        <v>468</v>
      </c>
      <c r="B19" s="80" t="n">
        <v>2</v>
      </c>
      <c r="C19" s="80" t="n">
        <v>4</v>
      </c>
      <c r="D19" s="80" t="n">
        <v>8</v>
      </c>
      <c r="E19" s="35" t="s">
        <v>48</v>
      </c>
      <c r="F19" s="61" t="s">
        <v>469</v>
      </c>
    </row>
    <row r="20" customFormat="false" ht="15" hidden="false" customHeight="true" outlineLevel="0" collapsed="false">
      <c r="A20" s="35" t="s">
        <v>50</v>
      </c>
      <c r="B20" s="80" t="n">
        <v>4</v>
      </c>
      <c r="C20" s="80" t="n">
        <v>8</v>
      </c>
      <c r="D20" s="80" t="n">
        <v>12</v>
      </c>
      <c r="E20" s="35" t="s">
        <v>51</v>
      </c>
      <c r="F20" s="61" t="s">
        <v>470</v>
      </c>
    </row>
    <row r="21" customFormat="false" ht="15" hidden="false" customHeight="true" outlineLevel="0" collapsed="false">
      <c r="A21" s="35" t="s">
        <v>53</v>
      </c>
      <c r="B21" s="78" t="n">
        <v>25</v>
      </c>
      <c r="C21" s="78" t="n">
        <v>50</v>
      </c>
      <c r="D21" s="78" t="n">
        <v>100</v>
      </c>
      <c r="E21" s="35" t="s">
        <v>54</v>
      </c>
      <c r="F21" s="61" t="s">
        <v>471</v>
      </c>
    </row>
    <row r="22" customFormat="false" ht="15" hidden="false" customHeight="true" outlineLevel="0" collapsed="false">
      <c r="A22" s="35" t="s">
        <v>472</v>
      </c>
      <c r="B22" s="81" t="n">
        <v>300</v>
      </c>
      <c r="C22" s="81" t="n">
        <v>600</v>
      </c>
      <c r="D22" s="81" t="n">
        <v>1000</v>
      </c>
      <c r="E22" s="35" t="s">
        <v>452</v>
      </c>
      <c r="F22" s="61" t="s">
        <v>473</v>
      </c>
    </row>
    <row r="23" customFormat="false" ht="15" hidden="false" customHeight="true" outlineLevel="0" collapsed="false">
      <c r="A23" s="35" t="s">
        <v>474</v>
      </c>
      <c r="B23" s="81" t="n">
        <v>200</v>
      </c>
      <c r="C23" s="81" t="n">
        <v>400</v>
      </c>
      <c r="D23" s="81" t="n">
        <v>800</v>
      </c>
      <c r="E23" s="35" t="s">
        <v>452</v>
      </c>
      <c r="F23" s="61" t="s">
        <v>475</v>
      </c>
    </row>
    <row r="24" customFormat="false" ht="15" hidden="false" customHeight="true" outlineLevel="0" collapsed="false">
      <c r="A24" s="35" t="s">
        <v>62</v>
      </c>
      <c r="B24" s="80" t="n">
        <v>4</v>
      </c>
      <c r="C24" s="80" t="n">
        <v>12</v>
      </c>
      <c r="D24" s="80" t="n">
        <v>30</v>
      </c>
      <c r="E24" s="35" t="s">
        <v>63</v>
      </c>
      <c r="F24" s="61" t="s">
        <v>476</v>
      </c>
    </row>
    <row r="25" customFormat="false" ht="15" hidden="false" customHeight="true" outlineLevel="0" collapsed="false">
      <c r="A25" s="35" t="s">
        <v>477</v>
      </c>
      <c r="B25" s="80" t="n">
        <v>8</v>
      </c>
      <c r="C25" s="80" t="n">
        <v>16</v>
      </c>
      <c r="D25" s="80" t="n">
        <v>30</v>
      </c>
      <c r="E25" s="35" t="s">
        <v>63</v>
      </c>
      <c r="F25" s="61" t="s">
        <v>478</v>
      </c>
    </row>
    <row r="26" customFormat="false" ht="21.75" hidden="false" customHeight="true" outlineLevel="0" collapsed="false">
      <c r="A26" s="35" t="s">
        <v>479</v>
      </c>
      <c r="B26" s="69" t="n">
        <v>0</v>
      </c>
      <c r="C26" s="69" t="n">
        <v>0.3</v>
      </c>
      <c r="D26" s="69" t="n">
        <v>0.5</v>
      </c>
      <c r="E26" s="35" t="s">
        <v>34</v>
      </c>
      <c r="F26" s="61" t="s">
        <v>480</v>
      </c>
    </row>
    <row r="27" customFormat="false" ht="15" hidden="false" customHeight="true" outlineLevel="0" collapsed="false">
      <c r="A27" s="68" t="s">
        <v>481</v>
      </c>
    </row>
    <row r="28" customFormat="false" ht="15" hidden="false" customHeight="true" outlineLevel="0" collapsed="false">
      <c r="A28" s="35" t="s">
        <v>482</v>
      </c>
      <c r="B28" s="71" t="n">
        <f aca="false">B19+B20/12</f>
        <v>2.33333333333333</v>
      </c>
      <c r="C28" s="71" t="n">
        <f aca="false">C19+C20/12</f>
        <v>4.66666666666667</v>
      </c>
      <c r="D28" s="71" t="n">
        <f aca="false">D19+D20/12</f>
        <v>9</v>
      </c>
      <c r="E28" s="35" t="s">
        <v>48</v>
      </c>
      <c r="F28" s="61" t="s">
        <v>483</v>
      </c>
    </row>
    <row r="29" customFormat="false" ht="15" hidden="false" customHeight="true" outlineLevel="0" collapsed="false">
      <c r="A29" s="35" t="s">
        <v>484</v>
      </c>
      <c r="B29" s="71" t="n">
        <f aca="false">B13*B14/60</f>
        <v>15</v>
      </c>
      <c r="C29" s="71" t="n">
        <f aca="false">C13*C14/60</f>
        <v>60</v>
      </c>
      <c r="D29" s="71" t="n">
        <f aca="false">D13*D14/60</f>
        <v>250</v>
      </c>
      <c r="E29" s="35" t="s">
        <v>48</v>
      </c>
      <c r="F29" s="61" t="s">
        <v>485</v>
      </c>
    </row>
    <row r="30" customFormat="false" ht="15" hidden="false" customHeight="true" outlineLevel="0" collapsed="false">
      <c r="A30" s="35" t="s">
        <v>486</v>
      </c>
      <c r="B30" s="71" t="n">
        <f aca="false">(B13*B15+B13*B16*B17)/60+B28</f>
        <v>8.33333333333333</v>
      </c>
      <c r="C30" s="71" t="n">
        <f aca="false">(C13*C15+C13*C16*C17)/60+C28</f>
        <v>28.6666666666667</v>
      </c>
      <c r="D30" s="71" t="n">
        <f aca="false">(D13*D15+D13*D16*D17)/60+D28</f>
        <v>109</v>
      </c>
      <c r="E30" s="35" t="s">
        <v>48</v>
      </c>
      <c r="F30" s="61" t="s">
        <v>487</v>
      </c>
    </row>
    <row r="31" customFormat="false" ht="15" hidden="false" customHeight="true" outlineLevel="0" collapsed="false">
      <c r="A31" s="35" t="s">
        <v>79</v>
      </c>
      <c r="B31" s="71" t="n">
        <f aca="false">B29-B30</f>
        <v>6.66666666666667</v>
      </c>
      <c r="C31" s="71" t="n">
        <f aca="false">C29-C30</f>
        <v>31.3333333333333</v>
      </c>
      <c r="D31" s="71" t="n">
        <f aca="false">D29-D30</f>
        <v>141</v>
      </c>
      <c r="E31" s="35" t="s">
        <v>48</v>
      </c>
      <c r="F31" s="61" t="s">
        <v>488</v>
      </c>
    </row>
    <row r="32" customFormat="false" ht="15" hidden="false" customHeight="true" outlineLevel="0" collapsed="false">
      <c r="A32" s="35" t="s">
        <v>489</v>
      </c>
      <c r="B32" s="60" t="n">
        <f aca="false">B31*Stundensatz</f>
        <v>300</v>
      </c>
      <c r="C32" s="60" t="n">
        <f aca="false">C31*Stundensatz</f>
        <v>1410</v>
      </c>
      <c r="D32" s="60" t="n">
        <f aca="false">D31*Stundensatz</f>
        <v>6345</v>
      </c>
      <c r="E32" s="35" t="s">
        <v>466</v>
      </c>
      <c r="F32" s="61" t="s">
        <v>490</v>
      </c>
    </row>
    <row r="33" customFormat="false" ht="15" hidden="false" customHeight="true" outlineLevel="0" collapsed="false">
      <c r="A33" s="35" t="s">
        <v>491</v>
      </c>
      <c r="B33" s="60" t="n">
        <f aca="false">B13*B10</f>
        <v>1.43478260869565</v>
      </c>
      <c r="C33" s="60" t="n">
        <f aca="false">C13*C10</f>
        <v>5.73913043478261</v>
      </c>
      <c r="D33" s="60" t="n">
        <f aca="false">D13*D10</f>
        <v>23.9130434782609</v>
      </c>
      <c r="E33" s="35" t="s">
        <v>466</v>
      </c>
      <c r="F33" s="61" t="s">
        <v>492</v>
      </c>
    </row>
    <row r="34" customFormat="false" ht="15" hidden="false" customHeight="true" outlineLevel="0" collapsed="false">
      <c r="A34" s="35" t="s">
        <v>493</v>
      </c>
      <c r="B34" s="60" t="n">
        <f aca="false">B33+B18</f>
        <v>26.4347826086957</v>
      </c>
      <c r="C34" s="60" t="n">
        <f aca="false">C33+C18</f>
        <v>55.7391304347826</v>
      </c>
      <c r="D34" s="60" t="n">
        <f aca="false">D33+D18</f>
        <v>173.913043478261</v>
      </c>
      <c r="E34" s="35" t="s">
        <v>466</v>
      </c>
      <c r="F34" s="61" t="s">
        <v>494</v>
      </c>
    </row>
    <row r="35" customFormat="false" ht="15" hidden="false" customHeight="true" outlineLevel="0" collapsed="false">
      <c r="A35" s="35" t="s">
        <v>495</v>
      </c>
      <c r="B35" s="60" t="n">
        <f aca="false">B14/60*Stundensatz</f>
        <v>4.5</v>
      </c>
      <c r="C35" s="60" t="n">
        <f aca="false">C14/60*Stundensatz</f>
        <v>4.5</v>
      </c>
      <c r="D35" s="60" t="n">
        <f aca="false">D14/60*Stundensatz</f>
        <v>4.5</v>
      </c>
      <c r="E35" s="35" t="s">
        <v>452</v>
      </c>
      <c r="F35" s="61" t="s">
        <v>496</v>
      </c>
    </row>
    <row r="36" customFormat="false" ht="15" hidden="false" customHeight="true" outlineLevel="0" collapsed="false">
      <c r="A36" s="35" t="s">
        <v>497</v>
      </c>
      <c r="B36" s="60" t="n">
        <f aca="false">IF(B13&gt;0,(B30*Stundensatz+B34)/B13,"-")</f>
        <v>2.67623188405797</v>
      </c>
      <c r="C36" s="60" t="n">
        <f aca="false">IF(C13&gt;0,(C30*Stundensatz+C34)/C13,"-")</f>
        <v>2.24289855072464</v>
      </c>
      <c r="D36" s="60" t="n">
        <f aca="false">IF(D13&gt;0,(D30*Stundensatz+D34)/D13,"-")</f>
        <v>2.0315652173913</v>
      </c>
      <c r="E36" s="35" t="s">
        <v>452</v>
      </c>
      <c r="F36" s="61" t="s">
        <v>498</v>
      </c>
    </row>
    <row r="37" customFormat="false" ht="15" hidden="false" customHeight="true" outlineLevel="0" collapsed="false">
      <c r="A37" s="54" t="s">
        <v>499</v>
      </c>
      <c r="B37" s="57" t="n">
        <f aca="false">B32-B34</f>
        <v>273.565217391304</v>
      </c>
      <c r="C37" s="57" t="n">
        <f aca="false">C32-C34</f>
        <v>1354.26086956522</v>
      </c>
      <c r="D37" s="57" t="n">
        <f aca="false">D32-D34</f>
        <v>6171.08695652174</v>
      </c>
      <c r="E37" s="35" t="s">
        <v>466</v>
      </c>
      <c r="F37" s="61" t="s">
        <v>500</v>
      </c>
    </row>
    <row r="38" customFormat="false" ht="15" hidden="false" customHeight="true" outlineLevel="0" collapsed="false">
      <c r="A38" s="54" t="s">
        <v>501</v>
      </c>
      <c r="B38" s="57" t="n">
        <f aca="false">B32*B26-B34</f>
        <v>-26.4347826086957</v>
      </c>
      <c r="C38" s="57" t="n">
        <f aca="false">C32*C26-C34</f>
        <v>367.260869565217</v>
      </c>
      <c r="D38" s="57" t="n">
        <f aca="false">D32*D26-D34</f>
        <v>2998.58695652174</v>
      </c>
      <c r="E38" s="35" t="s">
        <v>466</v>
      </c>
      <c r="F38" s="61" t="s">
        <v>502</v>
      </c>
    </row>
    <row r="39" customFormat="false" ht="15" hidden="false" customHeight="true" outlineLevel="0" collapsed="false">
      <c r="A39" s="35" t="s">
        <v>503</v>
      </c>
      <c r="B39" s="82" t="n">
        <f aca="false">B21*Extern_Stundensatz+B22+B23</f>
        <v>3000</v>
      </c>
      <c r="C39" s="82" t="n">
        <f aca="false">C21*Extern_Stundensatz+C22+C23</f>
        <v>6000</v>
      </c>
      <c r="D39" s="82" t="n">
        <f aca="false">D21*Extern_Stundensatz+D22+D23</f>
        <v>11800</v>
      </c>
      <c r="E39" s="35" t="s">
        <v>452</v>
      </c>
      <c r="F39" s="61" t="s">
        <v>504</v>
      </c>
    </row>
    <row r="40" customFormat="false" ht="15" hidden="false" customHeight="true" outlineLevel="0" collapsed="false">
      <c r="A40" s="35" t="s">
        <v>505</v>
      </c>
      <c r="B40" s="82" t="n">
        <f aca="false">(B24+B25)*Stundensatz</f>
        <v>540</v>
      </c>
      <c r="C40" s="82" t="n">
        <f aca="false">(C24+C25)*Stundensatz</f>
        <v>1260</v>
      </c>
      <c r="D40" s="82" t="n">
        <f aca="false">(D24+D25)*Stundensatz</f>
        <v>2700</v>
      </c>
      <c r="E40" s="35" t="s">
        <v>452</v>
      </c>
      <c r="F40" s="61" t="s">
        <v>506</v>
      </c>
    </row>
    <row r="41" customFormat="false" ht="15" hidden="false" customHeight="true" outlineLevel="0" collapsed="false">
      <c r="A41" s="35" t="s">
        <v>95</v>
      </c>
      <c r="B41" s="82" t="n">
        <f aca="false">B39+B40</f>
        <v>3540</v>
      </c>
      <c r="C41" s="82" t="n">
        <f aca="false">C39+C40</f>
        <v>7260</v>
      </c>
      <c r="D41" s="82" t="n">
        <f aca="false">D39+D40</f>
        <v>14500</v>
      </c>
      <c r="E41" s="35" t="s">
        <v>452</v>
      </c>
      <c r="F41" s="61" t="s">
        <v>507</v>
      </c>
    </row>
    <row r="42" customFormat="false" ht="15" hidden="false" customHeight="true" outlineLevel="0" collapsed="false">
      <c r="A42" s="54" t="s">
        <v>96</v>
      </c>
      <c r="B42" s="83" t="n">
        <f aca="false">IF(B37&gt;0,B41/B37,"keine")</f>
        <v>12.9402415766052</v>
      </c>
      <c r="C42" s="83" t="n">
        <f aca="false">IF(C37&gt;0,C41/C37,"keine")</f>
        <v>5.36085783998973</v>
      </c>
      <c r="D42" s="83" t="n">
        <f aca="false">IF(D37&gt;0,D41/D37,"keine")</f>
        <v>2.34966710113785</v>
      </c>
      <c r="E42" s="35" t="s">
        <v>72</v>
      </c>
      <c r="F42" s="61" t="s">
        <v>508</v>
      </c>
    </row>
    <row r="43" customFormat="false" ht="15" hidden="false" customHeight="true" outlineLevel="0" collapsed="false">
      <c r="A43" s="54" t="s">
        <v>98</v>
      </c>
      <c r="B43" s="83" t="str">
        <f aca="false">IF(B38&gt;0,B39/B38,"keine")</f>
        <v>keine</v>
      </c>
      <c r="C43" s="83" t="n">
        <f aca="false">IF(C38&gt;0,C39/C38,"keine")</f>
        <v>16.3371611222919</v>
      </c>
      <c r="D43" s="83" t="n">
        <f aca="false">IF(D38&gt;0,D39/D38,"keine")</f>
        <v>3.93518686337768</v>
      </c>
      <c r="E43" s="35" t="s">
        <v>72</v>
      </c>
      <c r="F43" s="61" t="s">
        <v>509</v>
      </c>
    </row>
    <row r="44" customFormat="false" ht="15" hidden="false" customHeight="true" outlineLevel="0" collapsed="false">
      <c r="A44" s="54" t="s">
        <v>100</v>
      </c>
      <c r="B44" s="84" t="n">
        <f aca="false">Horizont*B37-B41</f>
        <v>3025.56521739131</v>
      </c>
      <c r="C44" s="84" t="n">
        <f aca="false">Horizont*C37-C41</f>
        <v>25242.2608695652</v>
      </c>
      <c r="D44" s="84" t="n">
        <f aca="false">Horizont*D37-D41</f>
        <v>133606.086956522</v>
      </c>
      <c r="E44" s="35" t="s">
        <v>452</v>
      </c>
      <c r="F44" s="61" t="s">
        <v>510</v>
      </c>
    </row>
    <row r="45" customFormat="false" ht="15" hidden="false" customHeight="true" outlineLevel="0" collapsed="false">
      <c r="A45" s="54" t="s">
        <v>101</v>
      </c>
      <c r="B45" s="84" t="n">
        <f aca="false">Horizont*B38-B39</f>
        <v>-3634.4347826087</v>
      </c>
      <c r="C45" s="84" t="n">
        <f aca="false">Horizont*C38-C39</f>
        <v>2814.26086956522</v>
      </c>
      <c r="D45" s="84" t="n">
        <f aca="false">Horizont*D38-D39</f>
        <v>60166.0869565217</v>
      </c>
      <c r="E45" s="35" t="s">
        <v>452</v>
      </c>
      <c r="F45" s="61" t="s">
        <v>511</v>
      </c>
    </row>
    <row r="46" customFormat="false" ht="15" hidden="false" customHeight="true" outlineLevel="0" collapsed="false">
      <c r="A46" s="35" t="s">
        <v>102</v>
      </c>
      <c r="B46" s="85" t="n">
        <f aca="false">((B14-B15-B16*B17)/60)*Stundensatz-B10</f>
        <v>2.6904347826087</v>
      </c>
      <c r="C46" s="85" t="n">
        <f aca="false">((C14-C15-C16*C17)/60)*Stundensatz-C10</f>
        <v>2.6904347826087</v>
      </c>
      <c r="D46" s="85" t="n">
        <f aca="false">((D14-D15-D16*D17)/60)*Stundensatz-D10</f>
        <v>2.6904347826087</v>
      </c>
      <c r="E46" s="35" t="s">
        <v>452</v>
      </c>
      <c r="F46" s="61" t="s">
        <v>512</v>
      </c>
    </row>
    <row r="47" customFormat="false" ht="15" hidden="false" customHeight="true" outlineLevel="0" collapsed="false">
      <c r="A47" s="54" t="s">
        <v>513</v>
      </c>
      <c r="B47" s="86" t="n">
        <f aca="false">IF(B46&gt;0,ROUNDUP((B28*Stundensatz+B18)/B46,0),"nie")</f>
        <v>49</v>
      </c>
      <c r="C47" s="86" t="n">
        <f aca="false">IF(C46&gt;0,ROUNDUP((C28*Stundensatz+C18)/C46,0),"nie")</f>
        <v>97</v>
      </c>
      <c r="D47" s="86" t="n">
        <f aca="false">IF(D46&gt;0,ROUNDUP((D28*Stundensatz+D18)/D46,0),"nie")</f>
        <v>207</v>
      </c>
      <c r="E47" s="35" t="s">
        <v>514</v>
      </c>
      <c r="F47" s="61" t="s">
        <v>515</v>
      </c>
    </row>
    <row r="48" customFormat="false" ht="15" hidden="false" customHeight="true" outlineLevel="0" collapsed="false">
      <c r="A48" s="68" t="s">
        <v>516</v>
      </c>
    </row>
    <row r="49" customFormat="false" ht="15" hidden="false" customHeight="true" outlineLevel="0" collapsed="false">
      <c r="A49" s="35" t="s">
        <v>517</v>
      </c>
      <c r="B49" s="60" t="n">
        <f aca="false">B31*Stundensatz_KMU-B34</f>
        <v>178.853678929766</v>
      </c>
      <c r="C49" s="60" t="n">
        <f aca="false">C31*Stundensatz_KMU-C34</f>
        <v>909.116638795987</v>
      </c>
      <c r="D49" s="60" t="n">
        <f aca="false">D31*Stundensatz_KMU-D34</f>
        <v>4167.9379180602</v>
      </c>
      <c r="E49" s="35" t="s">
        <v>466</v>
      </c>
      <c r="F49" s="61" t="s">
        <v>518</v>
      </c>
    </row>
    <row r="50" customFormat="false" ht="15" hidden="false" customHeight="true" outlineLevel="0" collapsed="false">
      <c r="A50" s="35" t="s">
        <v>519</v>
      </c>
      <c r="B50" s="71" t="n">
        <f aca="false">IF(B49&gt;0,(B39+(B24+B25)*Stundensatz_KMU)/B49,"keine")</f>
        <v>18.8395298935529</v>
      </c>
      <c r="C50" s="71" t="n">
        <f aca="false">IF(C49&gt;0,(C39+(C24+C25)*Stundensatz_KMU)/C49,"keine")</f>
        <v>7.54821905751246</v>
      </c>
      <c r="D50" s="71" t="n">
        <f aca="false">IF(D49&gt;0,(D39+(D24+D25)*Stundensatz_KMU)/D49,"keine")</f>
        <v>3.27442404905059</v>
      </c>
      <c r="E50" s="35" t="s">
        <v>72</v>
      </c>
      <c r="F50" s="61" t="s">
        <v>520</v>
      </c>
    </row>
    <row r="51" customFormat="false" ht="15" hidden="false" customHeight="true" outlineLevel="0" collapsed="false">
      <c r="A51" s="35" t="s">
        <v>521</v>
      </c>
      <c r="B51" s="82" t="n">
        <f aca="false">Horizont*B49-(B39+(B24+B25)*Stundensatz_KMU)</f>
        <v>922.969063545149</v>
      </c>
      <c r="C51" s="82" t="n">
        <f aca="false">Horizont*C49-(C39+(C24+C25)*Stundensatz_KMU)</f>
        <v>14956.5877926421</v>
      </c>
      <c r="D51" s="82" t="n">
        <f aca="false">Horizont*D49-(D39+(D24+D25)*Stundensatz_KMU)</f>
        <v>86382.9138795986</v>
      </c>
      <c r="E51" s="35" t="s">
        <v>452</v>
      </c>
      <c r="F51" s="61" t="s">
        <v>522</v>
      </c>
    </row>
    <row r="52" customFormat="false" ht="15" hidden="false" customHeight="true" outlineLevel="0" collapsed="false">
      <c r="A52" s="35" t="s">
        <v>523</v>
      </c>
      <c r="B52" s="60" t="n">
        <f aca="false">(B29-((B13*(B14+B15)/2+B13*B16*B17)/60+B28))*Stundensatz-B34</f>
        <v>48.5652173913043</v>
      </c>
      <c r="C52" s="60" t="n">
        <f aca="false">(C29-((C13*(C14+C15)/2+C13*C16*C17)/60+C28))*Stundensatz-C34</f>
        <v>454.260869565218</v>
      </c>
      <c r="D52" s="60" t="n">
        <f aca="false">(D29-((D13*(D14+D15)/2+D13*D16*D17)/60+D28))*Stundensatz-D34</f>
        <v>2421.08695652174</v>
      </c>
      <c r="E52" s="35" t="s">
        <v>466</v>
      </c>
      <c r="F52" s="61" t="s">
        <v>524</v>
      </c>
    </row>
    <row r="53" customFormat="false" ht="15" hidden="false" customHeight="true" outlineLevel="0" collapsed="false">
      <c r="A53" s="35" t="s">
        <v>525</v>
      </c>
      <c r="B53" s="71" t="n">
        <f aca="false">IF(B52&gt;0,B41/B52,"keine")</f>
        <v>72.8916741271263</v>
      </c>
      <c r="C53" s="71" t="n">
        <f aca="false">IF(C52&gt;0,C41/C52,"keine")</f>
        <v>15.9820061255743</v>
      </c>
      <c r="D53" s="71" t="n">
        <f aca="false">IF(D52&gt;0,D41/D52,"keine")</f>
        <v>5.98904552392925</v>
      </c>
      <c r="E53" s="35" t="s">
        <v>72</v>
      </c>
      <c r="F53" s="61" t="s">
        <v>526</v>
      </c>
    </row>
    <row r="54" customFormat="false" ht="15" hidden="false" customHeight="true" outlineLevel="0" collapsed="false">
      <c r="A54" s="35" t="s">
        <v>527</v>
      </c>
      <c r="B54" s="60" t="n">
        <f aca="false">(B29-((B13*B15+B13*2*B16*B17)/60+B28))*Stundensatz-B34</f>
        <v>228.565217391304</v>
      </c>
      <c r="C54" s="60" t="n">
        <f aca="false">(C29-((C13*C15+C13*2*C16*C17)/60+C28))*Stundensatz-C34</f>
        <v>1174.26086956522</v>
      </c>
      <c r="D54" s="60" t="n">
        <f aca="false">(D29-((D13*D15+D13*2*D16*D17)/60+D28))*Stundensatz-D34</f>
        <v>5421.08695652174</v>
      </c>
      <c r="E54" s="35" t="s">
        <v>466</v>
      </c>
      <c r="F54" s="61" t="s">
        <v>528</v>
      </c>
    </row>
    <row r="55" customFormat="false" ht="15" hidden="false" customHeight="true" outlineLevel="0" collapsed="false">
      <c r="A55" s="35" t="s">
        <v>529</v>
      </c>
      <c r="B55" s="60" t="n">
        <f aca="false">B32-(B33*Preisfaktor_Szenario*USD_je_EUR/USD_je_EUR_Szenario+B18)</f>
        <v>272.642857142857</v>
      </c>
      <c r="C55" s="60" t="n">
        <f aca="false">C32-(C33*Preisfaktor_Szenario*USD_je_EUR/USD_je_EUR_Szenario+C18)</f>
        <v>1350.57142857143</v>
      </c>
      <c r="D55" s="60" t="n">
        <f aca="false">D32-(D33*Preisfaktor_Szenario*USD_je_EUR/USD_je_EUR_Szenario+D18)</f>
        <v>6155.71428571429</v>
      </c>
      <c r="E55" s="35" t="s">
        <v>466</v>
      </c>
      <c r="F55" s="61" t="s">
        <v>530</v>
      </c>
    </row>
    <row r="56" customFormat="false" ht="15" hidden="false" customHeight="true" outlineLevel="0" collapsed="false">
      <c r="A56" s="35" t="s">
        <v>531</v>
      </c>
      <c r="B56" s="60" t="n">
        <f aca="false">B37-B13*(B11-B10)</f>
        <v>272.260869565217</v>
      </c>
      <c r="C56" s="60" t="n">
        <f aca="false">C37-C13*(C11-C10)</f>
        <v>1349.04347826087</v>
      </c>
      <c r="D56" s="60" t="n">
        <f aca="false">D37-D13*(D11-D10)</f>
        <v>6149.34782608696</v>
      </c>
      <c r="E56" s="35" t="s">
        <v>466</v>
      </c>
      <c r="F56" s="61" t="s">
        <v>532</v>
      </c>
    </row>
    <row r="57" customFormat="false" ht="15" hidden="false" customHeight="true" outlineLevel="0" collapsed="false">
      <c r="A57" s="35" t="s">
        <v>533</v>
      </c>
      <c r="B57" s="60" t="n">
        <f aca="false">B37-B28*(Extern_Stundensatz-Stundensatz)</f>
        <v>145.231884057971</v>
      </c>
      <c r="C57" s="60" t="n">
        <f aca="false">C37-C28*(Extern_Stundensatz-Stundensatz)</f>
        <v>1097.59420289855</v>
      </c>
      <c r="D57" s="60" t="n">
        <f aca="false">D37-D28*(Extern_Stundensatz-Stundensatz)</f>
        <v>5676.08695652174</v>
      </c>
      <c r="E57" s="35" t="s">
        <v>466</v>
      </c>
      <c r="F57" s="61" t="s">
        <v>534</v>
      </c>
    </row>
    <row r="58" customFormat="false" ht="15" hidden="false" customHeight="true" outlineLevel="0" collapsed="false">
      <c r="A58" s="35" t="s">
        <v>535</v>
      </c>
      <c r="B58" s="71" t="n">
        <f aca="false">IF(B57&gt;0,B41/B57,"keine")</f>
        <v>24.3748128929249</v>
      </c>
      <c r="C58" s="71" t="n">
        <f aca="false">IF(C57&gt;0,C41/C57,"keine")</f>
        <v>6.61446642195051</v>
      </c>
      <c r="D58" s="71" t="n">
        <f aca="false">IF(D57&gt;0,D41/D57,"keine")</f>
        <v>2.55457679050172</v>
      </c>
      <c r="E58" s="35" t="s">
        <v>72</v>
      </c>
      <c r="F58" s="61" t="s">
        <v>536</v>
      </c>
    </row>
    <row r="59" customFormat="false" ht="15" hidden="false" customHeight="true" outlineLevel="0" collapsed="false">
      <c r="A59" s="35" t="s">
        <v>537</v>
      </c>
      <c r="B59" s="74" t="n">
        <f aca="false">IF(B46&gt;0,ROUNDUP((B41/Horizont+B28*Stundensatz+B18)/B46,0),"nie")</f>
        <v>104</v>
      </c>
      <c r="C59" s="74" t="n">
        <f aca="false">IF(C46&gt;0,ROUNDUP((C41/Horizont+C28*Stundensatz+C18)/C46,0),"nie")</f>
        <v>210</v>
      </c>
      <c r="D59" s="74" t="n">
        <f aca="false">IF(D46&gt;0,ROUNDUP((D41/Horizont+D28*Stundensatz+D18)/D46,0),"nie")</f>
        <v>431</v>
      </c>
      <c r="E59" s="35" t="s">
        <v>514</v>
      </c>
      <c r="F59" s="61" t="s">
        <v>538</v>
      </c>
    </row>
  </sheetData>
  <sheetProtection sheet="true" formatColumns="false" formatRows="false"/>
  <dataValidations count="1">
    <dataValidation allowBlank="false" errorStyle="stop" operator="between" showDropDown="false" showErrorMessage="false" showInputMessage="false" sqref="B9" type="list">
      <formula1>Preise!$A$5:$A$17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9" width="26"/>
    <col collapsed="false" customWidth="true" hidden="false" outlineLevel="0" max="7" min="2" style="29" width="13"/>
  </cols>
  <sheetData>
    <row r="1" customFormat="false" ht="17.25" hidden="false" customHeight="true" outlineLevel="0" collapsed="false">
      <c r="A1" s="33" t="s">
        <v>539</v>
      </c>
    </row>
    <row r="2" customFormat="false" ht="15" hidden="false" customHeight="true" outlineLevel="0" collapsed="false">
      <c r="A2" s="48" t="s">
        <v>540</v>
      </c>
    </row>
    <row r="4" customFormat="false" ht="15" hidden="false" customHeight="true" outlineLevel="0" collapsed="false">
      <c r="A4" s="75" t="s">
        <v>541</v>
      </c>
      <c r="B4" s="87" t="n">
        <v>0.5</v>
      </c>
      <c r="C4" s="87" t="n">
        <v>1</v>
      </c>
      <c r="D4" s="87" t="n">
        <v>2</v>
      </c>
      <c r="E4" s="87" t="n">
        <v>3</v>
      </c>
      <c r="F4" s="87" t="n">
        <v>4</v>
      </c>
      <c r="G4" s="87" t="n">
        <v>6</v>
      </c>
    </row>
    <row r="5" customFormat="false" ht="15" hidden="false" customHeight="true" outlineLevel="0" collapsed="false">
      <c r="A5" s="88" t="n">
        <v>50</v>
      </c>
      <c r="B5" s="82" t="n">
        <f aca="false">$A5*(((B$4-Wirtschaftlichkeit!$C$16*Wirtschaftlichkeit!$C$17)/60)*Stundensatz-Wirtschaftlichkeit!$C$10)-Wirtschaftlichkeit!$C$28*Stundensatz-Wirtschaftlichkeit!$C$18</f>
        <v>-256.728260869565</v>
      </c>
      <c r="C5" s="82" t="n">
        <f aca="false">$A5*(((C$4-Wirtschaftlichkeit!$C$16*Wirtschaftlichkeit!$C$17)/60)*Stundensatz-Wirtschaftlichkeit!$C$10)-Wirtschaftlichkeit!$C$28*Stundensatz-Wirtschaftlichkeit!$C$18</f>
        <v>-237.978260869565</v>
      </c>
      <c r="D5" s="82" t="n">
        <f aca="false">$A5*(((D$4-Wirtschaftlichkeit!$C$16*Wirtschaftlichkeit!$C$17)/60)*Stundensatz-Wirtschaftlichkeit!$C$10)-Wirtschaftlichkeit!$C$28*Stundensatz-Wirtschaftlichkeit!$C$18</f>
        <v>-200.478260869565</v>
      </c>
      <c r="E5" s="82" t="n">
        <f aca="false">$A5*(((E$4-Wirtschaftlichkeit!$C$16*Wirtschaftlichkeit!$C$17)/60)*Stundensatz-Wirtschaftlichkeit!$C$10)-Wirtschaftlichkeit!$C$28*Stundensatz-Wirtschaftlichkeit!$C$18</f>
        <v>-162.978260869565</v>
      </c>
      <c r="F5" s="82" t="n">
        <f aca="false">$A5*(((F$4-Wirtschaftlichkeit!$C$16*Wirtschaftlichkeit!$C$17)/60)*Stundensatz-Wirtschaftlichkeit!$C$10)-Wirtschaftlichkeit!$C$28*Stundensatz-Wirtschaftlichkeit!$C$18</f>
        <v>-125.478260869565</v>
      </c>
      <c r="G5" s="82" t="n">
        <f aca="false">$A5*(((G$4-Wirtschaftlichkeit!$C$16*Wirtschaftlichkeit!$C$17)/60)*Stundensatz-Wirtschaftlichkeit!$C$10)-Wirtschaftlichkeit!$C$28*Stundensatz-Wirtschaftlichkeit!$C$18</f>
        <v>-50.4782608695653</v>
      </c>
    </row>
    <row r="6" customFormat="false" ht="15" hidden="false" customHeight="true" outlineLevel="0" collapsed="false">
      <c r="A6" s="88" t="n">
        <v>100</v>
      </c>
      <c r="B6" s="82" t="n">
        <f aca="false">$A6*(((B$4-Wirtschaftlichkeit!$C$16*Wirtschaftlichkeit!$C$17)/60)*Stundensatz-Wirtschaftlichkeit!$C$10)-Wirtschaftlichkeit!$C$28*Stundensatz-Wirtschaftlichkeit!$C$18</f>
        <v>-253.45652173913</v>
      </c>
      <c r="C6" s="82" t="n">
        <f aca="false">$A6*(((C$4-Wirtschaftlichkeit!$C$16*Wirtschaftlichkeit!$C$17)/60)*Stundensatz-Wirtschaftlichkeit!$C$10)-Wirtschaftlichkeit!$C$28*Stundensatz-Wirtschaftlichkeit!$C$18</f>
        <v>-215.95652173913</v>
      </c>
      <c r="D6" s="82" t="n">
        <f aca="false">$A6*(((D$4-Wirtschaftlichkeit!$C$16*Wirtschaftlichkeit!$C$17)/60)*Stundensatz-Wirtschaftlichkeit!$C$10)-Wirtschaftlichkeit!$C$28*Stundensatz-Wirtschaftlichkeit!$C$18</f>
        <v>-140.95652173913</v>
      </c>
      <c r="E6" s="82" t="n">
        <f aca="false">$A6*(((E$4-Wirtschaftlichkeit!$C$16*Wirtschaftlichkeit!$C$17)/60)*Stundensatz-Wirtschaftlichkeit!$C$10)-Wirtschaftlichkeit!$C$28*Stundensatz-Wirtschaftlichkeit!$C$18</f>
        <v>-65.9565217391304</v>
      </c>
      <c r="F6" s="82" t="n">
        <f aca="false">$A6*(((F$4-Wirtschaftlichkeit!$C$16*Wirtschaftlichkeit!$C$17)/60)*Stundensatz-Wirtschaftlichkeit!$C$10)-Wirtschaftlichkeit!$C$28*Stundensatz-Wirtschaftlichkeit!$C$18</f>
        <v>9.04347826086956</v>
      </c>
      <c r="G6" s="82" t="n">
        <f aca="false">$A6*(((G$4-Wirtschaftlichkeit!$C$16*Wirtschaftlichkeit!$C$17)/60)*Stundensatz-Wirtschaftlichkeit!$C$10)-Wirtschaftlichkeit!$C$28*Stundensatz-Wirtschaftlichkeit!$C$18</f>
        <v>159.04347826087</v>
      </c>
    </row>
    <row r="7" customFormat="false" ht="15" hidden="false" customHeight="true" outlineLevel="0" collapsed="false">
      <c r="A7" s="88" t="n">
        <v>250</v>
      </c>
      <c r="B7" s="82" t="n">
        <f aca="false">$A7*(((B$4-Wirtschaftlichkeit!$C$16*Wirtschaftlichkeit!$C$17)/60)*Stundensatz-Wirtschaftlichkeit!$C$10)-Wirtschaftlichkeit!$C$28*Stundensatz-Wirtschaftlichkeit!$C$18</f>
        <v>-243.641304347826</v>
      </c>
      <c r="C7" s="82" t="n">
        <f aca="false">$A7*(((C$4-Wirtschaftlichkeit!$C$16*Wirtschaftlichkeit!$C$17)/60)*Stundensatz-Wirtschaftlichkeit!$C$10)-Wirtschaftlichkeit!$C$28*Stundensatz-Wirtschaftlichkeit!$C$18</f>
        <v>-149.891304347826</v>
      </c>
      <c r="D7" s="82" t="n">
        <f aca="false">$A7*(((D$4-Wirtschaftlichkeit!$C$16*Wirtschaftlichkeit!$C$17)/60)*Stundensatz-Wirtschaftlichkeit!$C$10)-Wirtschaftlichkeit!$C$28*Stundensatz-Wirtschaftlichkeit!$C$18</f>
        <v>37.6086956521739</v>
      </c>
      <c r="E7" s="82" t="n">
        <f aca="false">$A7*(((E$4-Wirtschaftlichkeit!$C$16*Wirtschaftlichkeit!$C$17)/60)*Stundensatz-Wirtschaftlichkeit!$C$10)-Wirtschaftlichkeit!$C$28*Stundensatz-Wirtschaftlichkeit!$C$18</f>
        <v>225.108695652174</v>
      </c>
      <c r="F7" s="82" t="n">
        <f aca="false">$A7*(((F$4-Wirtschaftlichkeit!$C$16*Wirtschaftlichkeit!$C$17)/60)*Stundensatz-Wirtschaftlichkeit!$C$10)-Wirtschaftlichkeit!$C$28*Stundensatz-Wirtschaftlichkeit!$C$18</f>
        <v>412.608695652174</v>
      </c>
      <c r="G7" s="82" t="n">
        <f aca="false">$A7*(((G$4-Wirtschaftlichkeit!$C$16*Wirtschaftlichkeit!$C$17)/60)*Stundensatz-Wirtschaftlichkeit!$C$10)-Wirtschaftlichkeit!$C$28*Stundensatz-Wirtschaftlichkeit!$C$18</f>
        <v>787.608695652174</v>
      </c>
    </row>
    <row r="8" customFormat="false" ht="15" hidden="false" customHeight="true" outlineLevel="0" collapsed="false">
      <c r="A8" s="88" t="n">
        <v>500</v>
      </c>
      <c r="B8" s="82" t="n">
        <f aca="false">$A8*(((B$4-Wirtschaftlichkeit!$C$16*Wirtschaftlichkeit!$C$17)/60)*Stundensatz-Wirtschaftlichkeit!$C$10)-Wirtschaftlichkeit!$C$28*Stundensatz-Wirtschaftlichkeit!$C$18</f>
        <v>-227.282608695652</v>
      </c>
      <c r="C8" s="82" t="n">
        <f aca="false">$A8*(((C$4-Wirtschaftlichkeit!$C$16*Wirtschaftlichkeit!$C$17)/60)*Stundensatz-Wirtschaftlichkeit!$C$10)-Wirtschaftlichkeit!$C$28*Stundensatz-Wirtschaftlichkeit!$C$18</f>
        <v>-39.7826086956522</v>
      </c>
      <c r="D8" s="82" t="n">
        <f aca="false">$A8*(((D$4-Wirtschaftlichkeit!$C$16*Wirtschaftlichkeit!$C$17)/60)*Stundensatz-Wirtschaftlichkeit!$C$10)-Wirtschaftlichkeit!$C$28*Stundensatz-Wirtschaftlichkeit!$C$18</f>
        <v>335.217391304348</v>
      </c>
      <c r="E8" s="82" t="n">
        <f aca="false">$A8*(((E$4-Wirtschaftlichkeit!$C$16*Wirtschaftlichkeit!$C$17)/60)*Stundensatz-Wirtschaftlichkeit!$C$10)-Wirtschaftlichkeit!$C$28*Stundensatz-Wirtschaftlichkeit!$C$18</f>
        <v>710.217391304348</v>
      </c>
      <c r="F8" s="82" t="n">
        <f aca="false">$A8*(((F$4-Wirtschaftlichkeit!$C$16*Wirtschaftlichkeit!$C$17)/60)*Stundensatz-Wirtschaftlichkeit!$C$10)-Wirtschaftlichkeit!$C$28*Stundensatz-Wirtschaftlichkeit!$C$18</f>
        <v>1085.21739130435</v>
      </c>
      <c r="G8" s="82" t="n">
        <f aca="false">$A8*(((G$4-Wirtschaftlichkeit!$C$16*Wirtschaftlichkeit!$C$17)/60)*Stundensatz-Wirtschaftlichkeit!$C$10)-Wirtschaftlichkeit!$C$28*Stundensatz-Wirtschaftlichkeit!$C$18</f>
        <v>1835.21739130435</v>
      </c>
    </row>
    <row r="9" customFormat="false" ht="15" hidden="false" customHeight="true" outlineLevel="0" collapsed="false">
      <c r="A9" s="88" t="n">
        <v>1000</v>
      </c>
      <c r="B9" s="82" t="n">
        <f aca="false">$A9*(((B$4-Wirtschaftlichkeit!$C$16*Wirtschaftlichkeit!$C$17)/60)*Stundensatz-Wirtschaftlichkeit!$C$10)-Wirtschaftlichkeit!$C$28*Stundensatz-Wirtschaftlichkeit!$C$18</f>
        <v>-194.565217391304</v>
      </c>
      <c r="C9" s="82" t="n">
        <f aca="false">$A9*(((C$4-Wirtschaftlichkeit!$C$16*Wirtschaftlichkeit!$C$17)/60)*Stundensatz-Wirtschaftlichkeit!$C$10)-Wirtschaftlichkeit!$C$28*Stundensatz-Wirtschaftlichkeit!$C$18</f>
        <v>180.434782608696</v>
      </c>
      <c r="D9" s="82" t="n">
        <f aca="false">$A9*(((D$4-Wirtschaftlichkeit!$C$16*Wirtschaftlichkeit!$C$17)/60)*Stundensatz-Wirtschaftlichkeit!$C$10)-Wirtschaftlichkeit!$C$28*Stundensatz-Wirtschaftlichkeit!$C$18</f>
        <v>930.434782608696</v>
      </c>
      <c r="E9" s="82" t="n">
        <f aca="false">$A9*(((E$4-Wirtschaftlichkeit!$C$16*Wirtschaftlichkeit!$C$17)/60)*Stundensatz-Wirtschaftlichkeit!$C$10)-Wirtschaftlichkeit!$C$28*Stundensatz-Wirtschaftlichkeit!$C$18</f>
        <v>1680.4347826087</v>
      </c>
      <c r="F9" s="82" t="n">
        <f aca="false">$A9*(((F$4-Wirtschaftlichkeit!$C$16*Wirtschaftlichkeit!$C$17)/60)*Stundensatz-Wirtschaftlichkeit!$C$10)-Wirtschaftlichkeit!$C$28*Stundensatz-Wirtschaftlichkeit!$C$18</f>
        <v>2430.4347826087</v>
      </c>
      <c r="G9" s="82" t="n">
        <f aca="false">$A9*(((G$4-Wirtschaftlichkeit!$C$16*Wirtschaftlichkeit!$C$17)/60)*Stundensatz-Wirtschaftlichkeit!$C$10)-Wirtschaftlichkeit!$C$28*Stundensatz-Wirtschaftlichkeit!$C$18</f>
        <v>3930.4347826087</v>
      </c>
    </row>
    <row r="10" customFormat="false" ht="15" hidden="false" customHeight="true" outlineLevel="0" collapsed="false">
      <c r="A10" s="88" t="n">
        <v>2500</v>
      </c>
      <c r="B10" s="82" t="n">
        <f aca="false">$A10*(((B$4-Wirtschaftlichkeit!$C$16*Wirtschaftlichkeit!$C$17)/60)*Stundensatz-Wirtschaftlichkeit!$C$10)-Wirtschaftlichkeit!$C$28*Stundensatz-Wirtschaftlichkeit!$C$18</f>
        <v>-96.4130434782609</v>
      </c>
      <c r="C10" s="82" t="n">
        <f aca="false">$A10*(((C$4-Wirtschaftlichkeit!$C$16*Wirtschaftlichkeit!$C$17)/60)*Stundensatz-Wirtschaftlichkeit!$C$10)-Wirtschaftlichkeit!$C$28*Stundensatz-Wirtschaftlichkeit!$C$18</f>
        <v>841.086956521739</v>
      </c>
      <c r="D10" s="82" t="n">
        <f aca="false">$A10*(((D$4-Wirtschaftlichkeit!$C$16*Wirtschaftlichkeit!$C$17)/60)*Stundensatz-Wirtschaftlichkeit!$C$10)-Wirtschaftlichkeit!$C$28*Stundensatz-Wirtschaftlichkeit!$C$18</f>
        <v>2716.08695652174</v>
      </c>
      <c r="E10" s="82" t="n">
        <f aca="false">$A10*(((E$4-Wirtschaftlichkeit!$C$16*Wirtschaftlichkeit!$C$17)/60)*Stundensatz-Wirtschaftlichkeit!$C$10)-Wirtschaftlichkeit!$C$28*Stundensatz-Wirtschaftlichkeit!$C$18</f>
        <v>4591.08695652174</v>
      </c>
      <c r="F10" s="82" t="n">
        <f aca="false">$A10*(((F$4-Wirtschaftlichkeit!$C$16*Wirtschaftlichkeit!$C$17)/60)*Stundensatz-Wirtschaftlichkeit!$C$10)-Wirtschaftlichkeit!$C$28*Stundensatz-Wirtschaftlichkeit!$C$18</f>
        <v>6466.08695652174</v>
      </c>
      <c r="G10" s="82" t="n">
        <f aca="false">$A10*(((G$4-Wirtschaftlichkeit!$C$16*Wirtschaftlichkeit!$C$17)/60)*Stundensatz-Wirtschaftlichkeit!$C$10)-Wirtschaftlichkeit!$C$28*Stundensatz-Wirtschaftlichkeit!$C$18</f>
        <v>10216.0869565217</v>
      </c>
    </row>
    <row r="11" customFormat="false" ht="15" hidden="false" customHeight="true" outlineLevel="0" collapsed="false">
      <c r="A11" s="88" t="n">
        <v>5000</v>
      </c>
      <c r="B11" s="82" t="n">
        <f aca="false">$A11*(((B$4-Wirtschaftlichkeit!$C$16*Wirtschaftlichkeit!$C$17)/60)*Stundensatz-Wirtschaftlichkeit!$C$10)-Wirtschaftlichkeit!$C$28*Stundensatz-Wirtschaftlichkeit!$C$18</f>
        <v>67.1739130434781</v>
      </c>
      <c r="C11" s="82" t="n">
        <f aca="false">$A11*(((C$4-Wirtschaftlichkeit!$C$16*Wirtschaftlichkeit!$C$17)/60)*Stundensatz-Wirtschaftlichkeit!$C$10)-Wirtschaftlichkeit!$C$28*Stundensatz-Wirtschaftlichkeit!$C$18</f>
        <v>1942.17391304348</v>
      </c>
      <c r="D11" s="82" t="n">
        <f aca="false">$A11*(((D$4-Wirtschaftlichkeit!$C$16*Wirtschaftlichkeit!$C$17)/60)*Stundensatz-Wirtschaftlichkeit!$C$10)-Wirtschaftlichkeit!$C$28*Stundensatz-Wirtschaftlichkeit!$C$18</f>
        <v>5692.17391304348</v>
      </c>
      <c r="E11" s="82" t="n">
        <f aca="false">$A11*(((E$4-Wirtschaftlichkeit!$C$16*Wirtschaftlichkeit!$C$17)/60)*Stundensatz-Wirtschaftlichkeit!$C$10)-Wirtschaftlichkeit!$C$28*Stundensatz-Wirtschaftlichkeit!$C$18</f>
        <v>9442.17391304348</v>
      </c>
      <c r="F11" s="82" t="n">
        <f aca="false">$A11*(((F$4-Wirtschaftlichkeit!$C$16*Wirtschaftlichkeit!$C$17)/60)*Stundensatz-Wirtschaftlichkeit!$C$10)-Wirtschaftlichkeit!$C$28*Stundensatz-Wirtschaftlichkeit!$C$18</f>
        <v>13192.1739130435</v>
      </c>
      <c r="G11" s="82" t="n">
        <f aca="false">$A11*(((G$4-Wirtschaftlichkeit!$C$16*Wirtschaftlichkeit!$C$17)/60)*Stundensatz-Wirtschaftlichkeit!$C$10)-Wirtschaftlichkeit!$C$28*Stundensatz-Wirtschaftlichkeit!$C$18</f>
        <v>20692.1739130435</v>
      </c>
    </row>
    <row r="13" customFormat="false" ht="15" hidden="false" customHeight="true" outlineLevel="0" collapsed="false">
      <c r="A13" s="48" t="s">
        <v>542</v>
      </c>
    </row>
    <row r="16" customFormat="false" ht="15" hidden="false" customHeight="true" outlineLevel="0" collapsed="false">
      <c r="A16" s="68" t="s">
        <v>543</v>
      </c>
    </row>
    <row r="17" customFormat="false" ht="15" hidden="false" customHeight="true" outlineLevel="0" collapsed="false">
      <c r="A17" s="35" t="s">
        <v>544</v>
      </c>
      <c r="H17" s="89" t="n">
        <f aca="false">1-Wirtschaftlichkeit!$C$16*Wirtschaftlichkeit!$C$17</f>
        <v>0.6</v>
      </c>
    </row>
    <row r="18" customFormat="false" ht="15" hidden="false" customHeight="true" outlineLevel="0" collapsed="false">
      <c r="A18" s="35" t="s">
        <v>545</v>
      </c>
      <c r="H18" s="74" t="n">
        <f aca="false">ROUNDUP((Wirtschaftlichkeit!$C$28*Stundensatz+Wirtschaftlichkeit!$C$18)/(((1-Wirtschaftlichkeit!$C$16*Wirtschaftlichkeit!$C$17)/60)*Stundensatz-Wirtschaftlichkeit!$C$10),0)</f>
        <v>591</v>
      </c>
    </row>
  </sheetData>
  <sheetProtection sheet="true" formatColumns="false" formatRows="false"/>
  <conditionalFormatting sqref="B5:G11">
    <cfRule type="cellIs" priority="2"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9" width="24"/>
    <col collapsed="false" customWidth="true" hidden="false" outlineLevel="0" max="2" min="2" style="29" width="70"/>
    <col collapsed="false" customWidth="true" hidden="false" outlineLevel="0" max="6" min="3" style="29" width="14"/>
  </cols>
  <sheetData>
    <row r="1" customFormat="false" ht="17.25" hidden="false" customHeight="true" outlineLevel="0" collapsed="false">
      <c r="A1" s="33" t="s">
        <v>546</v>
      </c>
    </row>
    <row r="2" customFormat="false" ht="45" hidden="false" customHeight="true" outlineLevel="0" collapsed="false">
      <c r="A2" s="2" t="s">
        <v>547</v>
      </c>
    </row>
    <row r="4" customFormat="false" ht="15" hidden="false" customHeight="true" outlineLevel="0" collapsed="false">
      <c r="A4" s="34" t="s">
        <v>548</v>
      </c>
      <c r="B4" s="34" t="s">
        <v>549</v>
      </c>
      <c r="C4" s="34" t="s">
        <v>550</v>
      </c>
      <c r="D4" s="34" t="s">
        <v>551</v>
      </c>
      <c r="E4" s="34" t="s">
        <v>552</v>
      </c>
      <c r="F4" s="34" t="s">
        <v>553</v>
      </c>
    </row>
    <row r="5" customFormat="false" ht="15" hidden="false" customHeight="true" outlineLevel="0" collapsed="false">
      <c r="A5" s="49" t="s">
        <v>554</v>
      </c>
      <c r="B5" s="90" t="s">
        <v>555</v>
      </c>
      <c r="C5" s="91"/>
      <c r="D5" s="91"/>
      <c r="E5" s="91"/>
      <c r="F5" s="91"/>
    </row>
    <row r="6" customFormat="false" ht="15" hidden="false" customHeight="true" outlineLevel="0" collapsed="false">
      <c r="A6" s="49" t="s">
        <v>556</v>
      </c>
      <c r="B6" s="90" t="s">
        <v>557</v>
      </c>
      <c r="C6" s="91"/>
      <c r="D6" s="91"/>
      <c r="E6" s="91"/>
      <c r="F6" s="91"/>
    </row>
    <row r="7" customFormat="false" ht="15" hidden="false" customHeight="true" outlineLevel="0" collapsed="false">
      <c r="A7" s="49" t="s">
        <v>558</v>
      </c>
      <c r="B7" s="90" t="s">
        <v>559</v>
      </c>
      <c r="C7" s="91"/>
      <c r="D7" s="91"/>
      <c r="E7" s="91"/>
      <c r="F7" s="91"/>
    </row>
    <row r="8" customFormat="false" ht="15" hidden="false" customHeight="true" outlineLevel="0" collapsed="false">
      <c r="A8" s="49" t="s">
        <v>560</v>
      </c>
      <c r="B8" s="90" t="s">
        <v>561</v>
      </c>
      <c r="C8" s="91"/>
      <c r="D8" s="91"/>
      <c r="E8" s="91"/>
      <c r="F8" s="91"/>
    </row>
    <row r="9" customFormat="false" ht="15" hidden="false" customHeight="true" outlineLevel="0" collapsed="false">
      <c r="A9" s="49" t="s">
        <v>562</v>
      </c>
      <c r="B9" s="90" t="s">
        <v>563</v>
      </c>
      <c r="C9" s="91"/>
      <c r="D9" s="91"/>
      <c r="E9" s="91"/>
      <c r="F9" s="91"/>
    </row>
    <row r="10" customFormat="false" ht="15" hidden="false" customHeight="true" outlineLevel="0" collapsed="false">
      <c r="A10" s="49" t="s">
        <v>564</v>
      </c>
      <c r="B10" s="90" t="s">
        <v>565</v>
      </c>
      <c r="C10" s="91"/>
      <c r="D10" s="91"/>
      <c r="E10" s="91"/>
      <c r="F10" s="91"/>
    </row>
    <row r="11" customFormat="false" ht="15" hidden="false" customHeight="true" outlineLevel="0" collapsed="false">
      <c r="A11" s="49" t="s">
        <v>566</v>
      </c>
      <c r="B11" s="90" t="s">
        <v>567</v>
      </c>
      <c r="C11" s="91"/>
      <c r="D11" s="91"/>
      <c r="E11" s="91"/>
      <c r="F11" s="91"/>
    </row>
    <row r="12" customFormat="false" ht="15" hidden="false" customHeight="true" outlineLevel="0" collapsed="false">
      <c r="A12" s="49" t="s">
        <v>568</v>
      </c>
      <c r="B12" s="90" t="s">
        <v>569</v>
      </c>
      <c r="C12" s="91"/>
      <c r="D12" s="91"/>
      <c r="E12" s="91"/>
      <c r="F12" s="91"/>
    </row>
    <row r="13" customFormat="false" ht="15" hidden="false" customHeight="true" outlineLevel="0" collapsed="false">
      <c r="A13" s="92" t="s">
        <v>570</v>
      </c>
      <c r="B13" s="93"/>
      <c r="C13" s="94" t="n">
        <f aca="false">SUM(C5:C12)</f>
        <v>0</v>
      </c>
      <c r="D13" s="94" t="n">
        <f aca="false">SUM(D5:D12)</f>
        <v>0</v>
      </c>
      <c r="E13" s="94" t="n">
        <f aca="false">SUM(E5:E12)</f>
        <v>0</v>
      </c>
      <c r="F13" s="94" t="n">
        <f aca="false">SUM(F5:F12)</f>
        <v>0</v>
      </c>
    </row>
    <row r="14" customFormat="false" ht="15" hidden="false" customHeight="true" outlineLevel="0" collapsed="false">
      <c r="A14" s="92" t="s">
        <v>571</v>
      </c>
      <c r="B14" s="93"/>
      <c r="C14" s="52"/>
      <c r="D14" s="52"/>
      <c r="E14" s="52"/>
      <c r="F14" s="52"/>
    </row>
  </sheetData>
  <sheetProtection sheet="true" formatColumns="false" formatRows="false"/>
  <dataValidations count="1">
    <dataValidation allowBlank="true" errorStyle="stop" operator="between" showDropDown="false" showErrorMessage="false" showInputMessage="false" sqref="C5:F12"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9" width="60"/>
    <col collapsed="false" customWidth="true" hidden="false" outlineLevel="0" max="5" min="2" style="29" width="16"/>
    <col collapsed="false" customWidth="true" hidden="false" outlineLevel="0" max="6" min="6" style="29" width="80"/>
  </cols>
  <sheetData>
    <row r="1" customFormat="false" ht="17.25" hidden="false" customHeight="true" outlineLevel="0" collapsed="false">
      <c r="A1" s="33" t="s">
        <v>572</v>
      </c>
    </row>
    <row r="2" customFormat="false" ht="15" hidden="false" customHeight="true" outlineLevel="0" collapsed="false">
      <c r="A2" s="48" t="s">
        <v>573</v>
      </c>
    </row>
    <row r="4" customFormat="false" ht="23.25" hidden="false" customHeight="true" outlineLevel="0" collapsed="false">
      <c r="A4" s="34" t="s">
        <v>440</v>
      </c>
      <c r="B4" s="34" t="s">
        <v>574</v>
      </c>
      <c r="C4" s="34" t="s">
        <v>575</v>
      </c>
      <c r="D4" s="34" t="s">
        <v>576</v>
      </c>
      <c r="E4" s="34" t="s">
        <v>23</v>
      </c>
      <c r="F4" s="34" t="s">
        <v>444</v>
      </c>
    </row>
    <row r="5" customFormat="false" ht="15" hidden="false" customHeight="true" outlineLevel="0" collapsed="false">
      <c r="A5" s="68" t="s">
        <v>41</v>
      </c>
    </row>
    <row r="6" customFormat="false" ht="15" hidden="false" customHeight="true" outlineLevel="0" collapsed="false">
      <c r="A6" s="35" t="s">
        <v>577</v>
      </c>
      <c r="B6" s="80" t="n">
        <v>1.5</v>
      </c>
      <c r="C6" s="71" t="n">
        <f aca="false">$B6</f>
        <v>1.5</v>
      </c>
      <c r="D6" s="71" t="n">
        <f aca="false">$B6</f>
        <v>1.5</v>
      </c>
      <c r="E6" s="35" t="s">
        <v>29</v>
      </c>
      <c r="F6" s="61" t="s">
        <v>578</v>
      </c>
    </row>
    <row r="7" customFormat="false" ht="15" hidden="false" customHeight="true" outlineLevel="0" collapsed="false">
      <c r="A7" s="35" t="s">
        <v>579</v>
      </c>
      <c r="B7" s="40" t="n">
        <v>1500</v>
      </c>
      <c r="C7" s="74" t="n">
        <f aca="false">$B7</f>
        <v>1500</v>
      </c>
      <c r="D7" s="74" t="n">
        <f aca="false">$B7</f>
        <v>1500</v>
      </c>
      <c r="E7" s="35" t="s">
        <v>153</v>
      </c>
      <c r="F7" s="61" t="s">
        <v>446</v>
      </c>
    </row>
    <row r="8" customFormat="false" ht="15" hidden="false" customHeight="true" outlineLevel="0" collapsed="false">
      <c r="A8" s="35" t="s">
        <v>580</v>
      </c>
      <c r="B8" s="40" t="n">
        <v>400</v>
      </c>
      <c r="C8" s="74" t="n">
        <f aca="false">$B8</f>
        <v>400</v>
      </c>
      <c r="D8" s="74" t="n">
        <f aca="false">$B8</f>
        <v>400</v>
      </c>
      <c r="E8" s="35" t="s">
        <v>153</v>
      </c>
      <c r="F8" s="61" t="s">
        <v>448</v>
      </c>
    </row>
    <row r="9" customFormat="false" ht="15" hidden="false" customHeight="true" outlineLevel="0" collapsed="false">
      <c r="A9" s="35" t="s">
        <v>581</v>
      </c>
      <c r="B9" s="40" t="n">
        <v>0</v>
      </c>
      <c r="C9" s="74" t="n">
        <f aca="false">$B9</f>
        <v>0</v>
      </c>
      <c r="D9" s="74" t="n">
        <f aca="false">$B9</f>
        <v>0</v>
      </c>
      <c r="E9" s="35" t="s">
        <v>153</v>
      </c>
      <c r="F9" s="61" t="s">
        <v>582</v>
      </c>
    </row>
    <row r="10" customFormat="false" ht="15" hidden="false" customHeight="true" outlineLevel="0" collapsed="false">
      <c r="A10" s="35" t="s">
        <v>583</v>
      </c>
      <c r="B10" s="52" t="s">
        <v>208</v>
      </c>
      <c r="C10" s="35" t="str">
        <f aca="false">$B10</f>
        <v>Claude Sonnet 5.5</v>
      </c>
      <c r="D10" s="35" t="str">
        <f aca="false">$B10</f>
        <v>Claude Sonnet 5.5</v>
      </c>
      <c r="E10" s="35"/>
      <c r="F10" s="61" t="s">
        <v>451</v>
      </c>
    </row>
    <row r="11" customFormat="false" ht="15" hidden="false" customHeight="true" outlineLevel="0" collapsed="false">
      <c r="A11" s="54" t="s">
        <v>41</v>
      </c>
      <c r="B11" s="56" t="n">
        <f aca="false">(B6*Transkription_USD_min+(B7*INDEX(Preise!$B$5:$B$17,MATCH(B10,Preise!$A$5:$A$17,0))+(B8+B9)*INDEX(Preise!$C$5:$C$17,MATCH(B10,Preise!$A$5:$A$17,0)))/1000000)/USD_je_EUR</f>
        <v>0.0139130434782609</v>
      </c>
      <c r="C11" s="56" t="n">
        <f aca="false">(C6*Transkription_USD_min+(C7*INDEX(Preise!$B$5:$B$17,MATCH(C10,Preise!$A$5:$A$17,0))+(C8+C9)*INDEX(Preise!$C$5:$C$17,MATCH(C10,Preise!$A$5:$A$17,0)))/1000000)/USD_je_EUR</f>
        <v>0.0139130434782609</v>
      </c>
      <c r="D11" s="56" t="n">
        <f aca="false">(D6*Transkription_USD_min+(D7*INDEX(Preise!$B$5:$B$17,MATCH(D10,Preise!$A$5:$A$17,0))+(D8+D9)*INDEX(Preise!$C$5:$C$17,MATCH(D10,Preise!$A$5:$A$17,0)))/1000000)/USD_je_EUR</f>
        <v>0.0139130434782609</v>
      </c>
      <c r="E11" s="35" t="s">
        <v>452</v>
      </c>
      <c r="F11" s="53" t="s">
        <v>453</v>
      </c>
    </row>
    <row r="12" customFormat="false" ht="15" hidden="false" customHeight="true" outlineLevel="0" collapsed="false">
      <c r="A12" s="35" t="s">
        <v>454</v>
      </c>
      <c r="B12" s="56" t="n">
        <f aca="false">B11+Denk_Tokens_Szenario*INDEX(Preise!$C$5:$C$17,MATCH(B10,Preise!$A$5:$A$17,0))/1000000/USD_je_EUR</f>
        <v>0.0226086956521739</v>
      </c>
      <c r="C12" s="56" t="n">
        <f aca="false">C11+Denk_Tokens_Szenario*INDEX(Preise!$C$5:$C$17,MATCH(C10,Preise!$A$5:$A$17,0))/1000000/USD_je_EUR</f>
        <v>0.0226086956521739</v>
      </c>
      <c r="D12" s="56" t="n">
        <f aca="false">D11+Denk_Tokens_Szenario*INDEX(Preise!$C$5:$C$17,MATCH(D10,Preise!$A$5:$A$17,0))/1000000/USD_je_EUR</f>
        <v>0.0226086956521739</v>
      </c>
      <c r="E12" s="35" t="s">
        <v>452</v>
      </c>
      <c r="F12" s="61" t="s">
        <v>455</v>
      </c>
    </row>
    <row r="13" customFormat="false" ht="15" hidden="false" customHeight="true" outlineLevel="0" collapsed="false">
      <c r="A13" s="68" t="s">
        <v>456</v>
      </c>
    </row>
    <row r="14" customFormat="false" ht="15" hidden="false" customHeight="true" outlineLevel="0" collapsed="false">
      <c r="A14" s="35" t="s">
        <v>584</v>
      </c>
      <c r="B14" s="46" t="n">
        <v>4</v>
      </c>
      <c r="C14" s="46" t="n">
        <v>15</v>
      </c>
      <c r="D14" s="46" t="n">
        <v>50</v>
      </c>
      <c r="E14" s="35" t="s">
        <v>371</v>
      </c>
      <c r="F14" s="61" t="s">
        <v>585</v>
      </c>
    </row>
    <row r="15" customFormat="false" ht="15" hidden="false" customHeight="true" outlineLevel="0" collapsed="false">
      <c r="A15" s="35" t="s">
        <v>586</v>
      </c>
      <c r="B15" s="80" t="n">
        <v>1</v>
      </c>
      <c r="C15" s="80" t="n">
        <v>1</v>
      </c>
      <c r="D15" s="80" t="n">
        <v>1</v>
      </c>
      <c r="E15" s="35" t="s">
        <v>26</v>
      </c>
      <c r="F15" s="61" t="s">
        <v>587</v>
      </c>
    </row>
    <row r="16" customFormat="false" ht="15" hidden="false" customHeight="true" outlineLevel="0" collapsed="false">
      <c r="A16" s="35" t="s">
        <v>588</v>
      </c>
      <c r="B16" s="74" t="n">
        <f aca="false">B14*B15*Arbeitstage</f>
        <v>84</v>
      </c>
      <c r="C16" s="74" t="n">
        <f aca="false">C14*C15*Arbeitstage</f>
        <v>315</v>
      </c>
      <c r="D16" s="74" t="n">
        <f aca="false">D14*D15*Arbeitstage</f>
        <v>1050</v>
      </c>
      <c r="E16" s="35" t="s">
        <v>26</v>
      </c>
      <c r="F16" s="61" t="s">
        <v>589</v>
      </c>
    </row>
    <row r="17" customFormat="false" ht="15" hidden="false" customHeight="true" outlineLevel="0" collapsed="false">
      <c r="A17" s="35" t="s">
        <v>590</v>
      </c>
      <c r="B17" s="78" t="n">
        <v>8</v>
      </c>
      <c r="C17" s="78" t="n">
        <v>8</v>
      </c>
      <c r="D17" s="78" t="n">
        <v>8</v>
      </c>
      <c r="E17" s="35" t="s">
        <v>29</v>
      </c>
      <c r="F17" s="61" t="s">
        <v>591</v>
      </c>
    </row>
    <row r="18" customFormat="false" ht="15" hidden="false" customHeight="true" outlineLevel="0" collapsed="false">
      <c r="A18" s="35" t="s">
        <v>592</v>
      </c>
      <c r="B18" s="78" t="n">
        <v>6</v>
      </c>
      <c r="C18" s="78" t="n">
        <v>6</v>
      </c>
      <c r="D18" s="78" t="n">
        <v>6</v>
      </c>
      <c r="E18" s="35" t="s">
        <v>29</v>
      </c>
      <c r="F18" s="61" t="s">
        <v>593</v>
      </c>
    </row>
    <row r="19" customFormat="false" ht="15" hidden="false" customHeight="true" outlineLevel="0" collapsed="false">
      <c r="A19" s="35" t="s">
        <v>594</v>
      </c>
      <c r="B19" s="78" t="n">
        <v>2</v>
      </c>
      <c r="C19" s="78" t="n">
        <v>2</v>
      </c>
      <c r="D19" s="78" t="n">
        <v>2</v>
      </c>
      <c r="E19" s="35" t="s">
        <v>29</v>
      </c>
      <c r="F19" s="61" t="s">
        <v>595</v>
      </c>
    </row>
    <row r="20" customFormat="false" ht="15" hidden="false" customHeight="true" outlineLevel="0" collapsed="false">
      <c r="A20" s="35" t="s">
        <v>596</v>
      </c>
      <c r="B20" s="78" t="n">
        <v>3</v>
      </c>
      <c r="C20" s="78" t="n">
        <v>3</v>
      </c>
      <c r="D20" s="78" t="n">
        <v>3</v>
      </c>
      <c r="E20" s="35" t="s">
        <v>29</v>
      </c>
      <c r="F20" s="61" t="s">
        <v>597</v>
      </c>
    </row>
    <row r="21" customFormat="false" ht="15" hidden="false" customHeight="true" outlineLevel="0" collapsed="false">
      <c r="A21" s="35" t="s">
        <v>598</v>
      </c>
      <c r="B21" s="71" t="n">
        <f aca="false">B17+B18</f>
        <v>14</v>
      </c>
      <c r="C21" s="71" t="n">
        <f aca="false">C17+C18</f>
        <v>14</v>
      </c>
      <c r="D21" s="71" t="n">
        <f aca="false">D17+D18</f>
        <v>14</v>
      </c>
      <c r="E21" s="35" t="s">
        <v>29</v>
      </c>
      <c r="F21" s="61" t="s">
        <v>599</v>
      </c>
    </row>
    <row r="22" customFormat="false" ht="15" hidden="false" customHeight="true" outlineLevel="0" collapsed="false">
      <c r="A22" s="35" t="s">
        <v>600</v>
      </c>
      <c r="B22" s="71" t="n">
        <f aca="false">B19+B20</f>
        <v>5</v>
      </c>
      <c r="C22" s="71" t="n">
        <f aca="false">C19+C20</f>
        <v>5</v>
      </c>
      <c r="D22" s="71" t="n">
        <f aca="false">D19+D20</f>
        <v>5</v>
      </c>
      <c r="E22" s="35" t="s">
        <v>29</v>
      </c>
      <c r="F22" s="61" t="s">
        <v>601</v>
      </c>
    </row>
    <row r="23" customFormat="false" ht="15" hidden="false" customHeight="true" outlineLevel="0" collapsed="false">
      <c r="A23" s="35" t="s">
        <v>602</v>
      </c>
      <c r="B23" s="69" t="n">
        <v>0.1</v>
      </c>
      <c r="C23" s="69" t="n">
        <v>0.1</v>
      </c>
      <c r="D23" s="69" t="n">
        <v>0.1</v>
      </c>
      <c r="E23" s="35" t="s">
        <v>34</v>
      </c>
      <c r="F23" s="61" t="s">
        <v>463</v>
      </c>
    </row>
    <row r="24" customFormat="false" ht="15" hidden="false" customHeight="true" outlineLevel="0" collapsed="false">
      <c r="A24" s="35" t="s">
        <v>603</v>
      </c>
      <c r="B24" s="80" t="n">
        <v>5</v>
      </c>
      <c r="C24" s="80" t="n">
        <v>5</v>
      </c>
      <c r="D24" s="80" t="n">
        <v>5</v>
      </c>
      <c r="E24" s="35" t="s">
        <v>29</v>
      </c>
      <c r="F24" s="61" t="s">
        <v>604</v>
      </c>
    </row>
    <row r="25" customFormat="false" ht="15" hidden="false" customHeight="true" outlineLevel="0" collapsed="false">
      <c r="A25" s="35" t="s">
        <v>605</v>
      </c>
      <c r="B25" s="80" t="n">
        <v>5</v>
      </c>
      <c r="C25" s="80" t="n">
        <v>5</v>
      </c>
      <c r="D25" s="80" t="n">
        <v>5</v>
      </c>
      <c r="E25" s="35" t="s">
        <v>29</v>
      </c>
      <c r="F25" s="61" t="s">
        <v>606</v>
      </c>
    </row>
    <row r="26" customFormat="false" ht="15" hidden="false" customHeight="true" outlineLevel="0" collapsed="false">
      <c r="A26" s="35" t="s">
        <v>607</v>
      </c>
      <c r="B26" s="71" t="n">
        <f aca="false">B24+B25</f>
        <v>10</v>
      </c>
      <c r="C26" s="71" t="n">
        <f aca="false">C24+C25</f>
        <v>10</v>
      </c>
      <c r="D26" s="71" t="n">
        <f aca="false">D24+D25</f>
        <v>10</v>
      </c>
      <c r="E26" s="35" t="s">
        <v>29</v>
      </c>
      <c r="F26" s="61" t="s">
        <v>608</v>
      </c>
    </row>
    <row r="27" customFormat="false" ht="15" hidden="false" customHeight="true" outlineLevel="0" collapsed="false">
      <c r="A27" s="35" t="s">
        <v>609</v>
      </c>
      <c r="B27" s="80" t="n">
        <v>0.5</v>
      </c>
      <c r="C27" s="80" t="n">
        <v>0.5</v>
      </c>
      <c r="D27" s="80" t="n">
        <v>0.5</v>
      </c>
      <c r="E27" s="35" t="s">
        <v>54</v>
      </c>
      <c r="F27" s="61" t="s">
        <v>610</v>
      </c>
    </row>
    <row r="28" customFormat="false" ht="15" hidden="false" customHeight="true" outlineLevel="0" collapsed="false">
      <c r="A28" s="35" t="s">
        <v>611</v>
      </c>
      <c r="B28" s="80" t="n">
        <v>4</v>
      </c>
      <c r="C28" s="80" t="n">
        <v>6</v>
      </c>
      <c r="D28" s="80" t="n">
        <v>10</v>
      </c>
      <c r="E28" s="35" t="s">
        <v>54</v>
      </c>
      <c r="F28" s="61" t="s">
        <v>612</v>
      </c>
    </row>
    <row r="29" customFormat="false" ht="15" hidden="false" customHeight="true" outlineLevel="0" collapsed="false">
      <c r="A29" s="35" t="s">
        <v>44</v>
      </c>
      <c r="B29" s="45" t="n">
        <v>30</v>
      </c>
      <c r="C29" s="45" t="n">
        <v>60</v>
      </c>
      <c r="D29" s="45" t="n">
        <v>150</v>
      </c>
      <c r="E29" s="35" t="s">
        <v>466</v>
      </c>
      <c r="F29" s="61" t="s">
        <v>467</v>
      </c>
    </row>
    <row r="30" customFormat="false" ht="15" hidden="false" customHeight="true" outlineLevel="0" collapsed="false">
      <c r="A30" s="35" t="s">
        <v>468</v>
      </c>
      <c r="B30" s="80" t="n">
        <v>2</v>
      </c>
      <c r="C30" s="80" t="n">
        <v>4</v>
      </c>
      <c r="D30" s="80" t="n">
        <v>8</v>
      </c>
      <c r="E30" s="35" t="s">
        <v>48</v>
      </c>
      <c r="F30" s="61" t="s">
        <v>469</v>
      </c>
    </row>
    <row r="31" customFormat="false" ht="15" hidden="false" customHeight="true" outlineLevel="0" collapsed="false">
      <c r="A31" s="35" t="s">
        <v>50</v>
      </c>
      <c r="B31" s="80" t="n">
        <v>4</v>
      </c>
      <c r="C31" s="80" t="n">
        <v>8</v>
      </c>
      <c r="D31" s="80" t="n">
        <v>12</v>
      </c>
      <c r="E31" s="35" t="s">
        <v>51</v>
      </c>
      <c r="F31" s="61" t="s">
        <v>470</v>
      </c>
    </row>
    <row r="32" customFormat="false" ht="15" hidden="false" customHeight="true" outlineLevel="0" collapsed="false">
      <c r="A32" s="35" t="s">
        <v>53</v>
      </c>
      <c r="B32" s="78" t="n">
        <v>30</v>
      </c>
      <c r="C32" s="78" t="n">
        <v>60</v>
      </c>
      <c r="D32" s="78" t="n">
        <v>120</v>
      </c>
      <c r="E32" s="35" t="s">
        <v>54</v>
      </c>
      <c r="F32" s="61" t="s">
        <v>471</v>
      </c>
    </row>
    <row r="33" customFormat="false" ht="15" hidden="false" customHeight="true" outlineLevel="0" collapsed="false">
      <c r="A33" s="35" t="s">
        <v>472</v>
      </c>
      <c r="B33" s="81" t="n">
        <v>500</v>
      </c>
      <c r="C33" s="81" t="n">
        <v>1000</v>
      </c>
      <c r="D33" s="81" t="n">
        <v>2000</v>
      </c>
      <c r="E33" s="35" t="s">
        <v>452</v>
      </c>
      <c r="F33" s="61" t="s">
        <v>473</v>
      </c>
    </row>
    <row r="34" customFormat="false" ht="15" hidden="false" customHeight="true" outlineLevel="0" collapsed="false">
      <c r="A34" s="35" t="s">
        <v>474</v>
      </c>
      <c r="B34" s="81" t="n">
        <v>300</v>
      </c>
      <c r="C34" s="81" t="n">
        <v>500</v>
      </c>
      <c r="D34" s="81" t="n">
        <v>1000</v>
      </c>
      <c r="E34" s="35" t="s">
        <v>452</v>
      </c>
      <c r="F34" s="61" t="s">
        <v>475</v>
      </c>
    </row>
    <row r="35" customFormat="false" ht="15" hidden="false" customHeight="true" outlineLevel="0" collapsed="false">
      <c r="A35" s="35" t="s">
        <v>62</v>
      </c>
      <c r="B35" s="71" t="n">
        <f aca="false">B14*B27+B28</f>
        <v>6</v>
      </c>
      <c r="C35" s="71" t="n">
        <f aca="false">C14*C27+C28</f>
        <v>13.5</v>
      </c>
      <c r="D35" s="71" t="n">
        <f aca="false">D14*D27+D28</f>
        <v>35</v>
      </c>
      <c r="E35" s="35" t="s">
        <v>63</v>
      </c>
      <c r="F35" s="61" t="s">
        <v>476</v>
      </c>
    </row>
    <row r="36" customFormat="false" ht="15" hidden="false" customHeight="true" outlineLevel="0" collapsed="false">
      <c r="A36" s="35" t="s">
        <v>477</v>
      </c>
      <c r="B36" s="80" t="n">
        <v>10</v>
      </c>
      <c r="C36" s="80" t="n">
        <v>20</v>
      </c>
      <c r="D36" s="80" t="n">
        <v>40</v>
      </c>
      <c r="E36" s="35" t="s">
        <v>63</v>
      </c>
      <c r="F36" s="61" t="s">
        <v>478</v>
      </c>
    </row>
    <row r="37" customFormat="false" ht="21.75" hidden="false" customHeight="true" outlineLevel="0" collapsed="false">
      <c r="A37" s="35" t="s">
        <v>479</v>
      </c>
      <c r="B37" s="69" t="n">
        <v>0</v>
      </c>
      <c r="C37" s="69" t="n">
        <v>0.3</v>
      </c>
      <c r="D37" s="69" t="n">
        <v>0.5</v>
      </c>
      <c r="E37" s="35" t="s">
        <v>34</v>
      </c>
      <c r="F37" s="61" t="s">
        <v>480</v>
      </c>
    </row>
    <row r="38" customFormat="false" ht="15" hidden="false" customHeight="true" outlineLevel="0" collapsed="false">
      <c r="A38" s="68" t="s">
        <v>481</v>
      </c>
    </row>
    <row r="39" customFormat="false" ht="15" hidden="false" customHeight="true" outlineLevel="0" collapsed="false">
      <c r="A39" s="35" t="s">
        <v>482</v>
      </c>
      <c r="B39" s="71" t="n">
        <f aca="false">B30+B31/12</f>
        <v>2.33333333333333</v>
      </c>
      <c r="C39" s="71" t="n">
        <f aca="false">C30+C31/12</f>
        <v>4.66666666666667</v>
      </c>
      <c r="D39" s="71" t="n">
        <f aca="false">D30+D31/12</f>
        <v>9</v>
      </c>
      <c r="E39" s="35" t="s">
        <v>48</v>
      </c>
      <c r="F39" s="61" t="s">
        <v>483</v>
      </c>
    </row>
    <row r="40" customFormat="false" ht="15" hidden="false" customHeight="true" outlineLevel="0" collapsed="false">
      <c r="A40" s="35" t="s">
        <v>484</v>
      </c>
      <c r="B40" s="71" t="n">
        <f aca="false">B16*B21/60</f>
        <v>19.6</v>
      </c>
      <c r="C40" s="71" t="n">
        <f aca="false">C16*C21/60</f>
        <v>73.5</v>
      </c>
      <c r="D40" s="71" t="n">
        <f aca="false">D16*D21/60</f>
        <v>245</v>
      </c>
      <c r="E40" s="35" t="s">
        <v>48</v>
      </c>
      <c r="F40" s="61" t="s">
        <v>485</v>
      </c>
    </row>
    <row r="41" customFormat="false" ht="15" hidden="false" customHeight="true" outlineLevel="0" collapsed="false">
      <c r="A41" s="35" t="s">
        <v>486</v>
      </c>
      <c r="B41" s="71" t="n">
        <f aca="false">(B16*B22+B16*B23*B26)/60+B39</f>
        <v>10.7333333333333</v>
      </c>
      <c r="C41" s="71" t="n">
        <f aca="false">(C16*C22+C16*C23*C26)/60+C39</f>
        <v>36.1666666666667</v>
      </c>
      <c r="D41" s="71" t="n">
        <f aca="false">(D16*D22+D16*D23*D26)/60+D39</f>
        <v>114</v>
      </c>
      <c r="E41" s="35" t="s">
        <v>48</v>
      </c>
      <c r="F41" s="61" t="s">
        <v>487</v>
      </c>
    </row>
    <row r="42" customFormat="false" ht="15" hidden="false" customHeight="true" outlineLevel="0" collapsed="false">
      <c r="A42" s="35" t="s">
        <v>79</v>
      </c>
      <c r="B42" s="71" t="n">
        <f aca="false">B40-B41</f>
        <v>8.86666666666667</v>
      </c>
      <c r="C42" s="71" t="n">
        <f aca="false">C40-C41</f>
        <v>37.3333333333333</v>
      </c>
      <c r="D42" s="71" t="n">
        <f aca="false">D40-D41</f>
        <v>131</v>
      </c>
      <c r="E42" s="35" t="s">
        <v>48</v>
      </c>
      <c r="F42" s="61" t="s">
        <v>488</v>
      </c>
    </row>
    <row r="43" customFormat="false" ht="15" hidden="false" customHeight="true" outlineLevel="0" collapsed="false">
      <c r="A43" s="35" t="s">
        <v>489</v>
      </c>
      <c r="B43" s="60" t="n">
        <f aca="false">B42*Stundensatz</f>
        <v>399</v>
      </c>
      <c r="C43" s="60" t="n">
        <f aca="false">C42*Stundensatz</f>
        <v>1680</v>
      </c>
      <c r="D43" s="60" t="n">
        <f aca="false">D42*Stundensatz</f>
        <v>5895</v>
      </c>
      <c r="E43" s="35" t="s">
        <v>466</v>
      </c>
      <c r="F43" s="61" t="s">
        <v>490</v>
      </c>
    </row>
    <row r="44" customFormat="false" ht="15" hidden="false" customHeight="true" outlineLevel="0" collapsed="false">
      <c r="A44" s="35" t="s">
        <v>491</v>
      </c>
      <c r="B44" s="60" t="n">
        <f aca="false">B16*B11</f>
        <v>1.16869565217391</v>
      </c>
      <c r="C44" s="60" t="n">
        <f aca="false">C16*C11</f>
        <v>4.38260869565217</v>
      </c>
      <c r="D44" s="60" t="n">
        <f aca="false">D16*D11</f>
        <v>14.6086956521739</v>
      </c>
      <c r="E44" s="35" t="s">
        <v>466</v>
      </c>
      <c r="F44" s="61" t="s">
        <v>492</v>
      </c>
    </row>
    <row r="45" customFormat="false" ht="15" hidden="false" customHeight="true" outlineLevel="0" collapsed="false">
      <c r="A45" s="35" t="s">
        <v>493</v>
      </c>
      <c r="B45" s="60" t="n">
        <f aca="false">B44+B29</f>
        <v>31.1686956521739</v>
      </c>
      <c r="C45" s="60" t="n">
        <f aca="false">C44+C29</f>
        <v>64.3826086956522</v>
      </c>
      <c r="D45" s="60" t="n">
        <f aca="false">D44+D29</f>
        <v>164.608695652174</v>
      </c>
      <c r="E45" s="35" t="s">
        <v>466</v>
      </c>
      <c r="F45" s="61" t="s">
        <v>494</v>
      </c>
    </row>
    <row r="46" customFormat="false" ht="15" hidden="false" customHeight="true" outlineLevel="0" collapsed="false">
      <c r="A46" s="35" t="s">
        <v>495</v>
      </c>
      <c r="B46" s="60" t="n">
        <f aca="false">B21/60*Stundensatz</f>
        <v>10.5</v>
      </c>
      <c r="C46" s="60" t="n">
        <f aca="false">C21/60*Stundensatz</f>
        <v>10.5</v>
      </c>
      <c r="D46" s="60" t="n">
        <f aca="false">D21/60*Stundensatz</f>
        <v>10.5</v>
      </c>
      <c r="E46" s="35" t="s">
        <v>452</v>
      </c>
      <c r="F46" s="61" t="s">
        <v>496</v>
      </c>
    </row>
    <row r="47" customFormat="false" ht="15" hidden="false" customHeight="true" outlineLevel="0" collapsed="false">
      <c r="A47" s="35" t="s">
        <v>497</v>
      </c>
      <c r="B47" s="60" t="n">
        <f aca="false">(B41*Stundensatz+B45)/B16</f>
        <v>6.12105590062112</v>
      </c>
      <c r="C47" s="60" t="n">
        <f aca="false">(C41*Stundensatz+C45)/C16</f>
        <v>5.37105590062112</v>
      </c>
      <c r="D47" s="60" t="n">
        <f aca="false">(D41*Stundensatz+D45)/D16</f>
        <v>5.04248447204969</v>
      </c>
      <c r="E47" s="35" t="s">
        <v>452</v>
      </c>
      <c r="F47" s="61" t="s">
        <v>498</v>
      </c>
    </row>
    <row r="48" customFormat="false" ht="15" hidden="false" customHeight="true" outlineLevel="0" collapsed="false">
      <c r="A48" s="54" t="s">
        <v>499</v>
      </c>
      <c r="B48" s="57" t="n">
        <f aca="false">B43-B45</f>
        <v>367.831304347826</v>
      </c>
      <c r="C48" s="57" t="n">
        <f aca="false">C43-C45</f>
        <v>1615.61739130435</v>
      </c>
      <c r="D48" s="57" t="n">
        <f aca="false">D43-D45</f>
        <v>5730.39130434783</v>
      </c>
      <c r="E48" s="35" t="s">
        <v>466</v>
      </c>
      <c r="F48" s="61" t="s">
        <v>500</v>
      </c>
    </row>
    <row r="49" customFormat="false" ht="15" hidden="false" customHeight="true" outlineLevel="0" collapsed="false">
      <c r="A49" s="54" t="s">
        <v>501</v>
      </c>
      <c r="B49" s="57" t="n">
        <f aca="false">B43*B37-B45</f>
        <v>-31.1686956521739</v>
      </c>
      <c r="C49" s="57" t="n">
        <f aca="false">C43*C37-C45</f>
        <v>439.617391304348</v>
      </c>
      <c r="D49" s="57" t="n">
        <f aca="false">D43*D37-D45</f>
        <v>2782.89130434783</v>
      </c>
      <c r="E49" s="35" t="s">
        <v>466</v>
      </c>
      <c r="F49" s="61" t="s">
        <v>502</v>
      </c>
    </row>
    <row r="50" customFormat="false" ht="15" hidden="false" customHeight="true" outlineLevel="0" collapsed="false">
      <c r="A50" s="35" t="s">
        <v>503</v>
      </c>
      <c r="B50" s="82" t="n">
        <f aca="false">B32*Extern_Stundensatz+B33+B34</f>
        <v>3800</v>
      </c>
      <c r="C50" s="82" t="n">
        <f aca="false">C32*Extern_Stundensatz+C33+C34</f>
        <v>7500</v>
      </c>
      <c r="D50" s="82" t="n">
        <f aca="false">D32*Extern_Stundensatz+D33+D34</f>
        <v>15000</v>
      </c>
      <c r="E50" s="35" t="s">
        <v>452</v>
      </c>
      <c r="F50" s="61" t="s">
        <v>504</v>
      </c>
    </row>
    <row r="51" customFormat="false" ht="15" hidden="false" customHeight="true" outlineLevel="0" collapsed="false">
      <c r="A51" s="35" t="s">
        <v>505</v>
      </c>
      <c r="B51" s="82" t="n">
        <f aca="false">(B35+B36)*Stundensatz</f>
        <v>720</v>
      </c>
      <c r="C51" s="82" t="n">
        <f aca="false">(C35+C36)*Stundensatz</f>
        <v>1507.5</v>
      </c>
      <c r="D51" s="82" t="n">
        <f aca="false">(D35+D36)*Stundensatz</f>
        <v>3375</v>
      </c>
      <c r="E51" s="35" t="s">
        <v>452</v>
      </c>
      <c r="F51" s="61" t="s">
        <v>506</v>
      </c>
    </row>
    <row r="52" customFormat="false" ht="15" hidden="false" customHeight="true" outlineLevel="0" collapsed="false">
      <c r="A52" s="35" t="s">
        <v>95</v>
      </c>
      <c r="B52" s="82" t="n">
        <f aca="false">B50+B51</f>
        <v>4520</v>
      </c>
      <c r="C52" s="82" t="n">
        <f aca="false">C50+C51</f>
        <v>9007.5</v>
      </c>
      <c r="D52" s="82" t="n">
        <f aca="false">D50+D51</f>
        <v>18375</v>
      </c>
      <c r="E52" s="35" t="s">
        <v>452</v>
      </c>
      <c r="F52" s="61" t="s">
        <v>507</v>
      </c>
    </row>
    <row r="53" customFormat="false" ht="15" hidden="false" customHeight="true" outlineLevel="0" collapsed="false">
      <c r="A53" s="54" t="s">
        <v>96</v>
      </c>
      <c r="B53" s="83" t="n">
        <f aca="false">IF(B48&gt;0,B52/B48,"keine")</f>
        <v>12.2882417743484</v>
      </c>
      <c r="C53" s="83" t="n">
        <f aca="false">IF(C48&gt;0,C52/C48,"keine")</f>
        <v>5.57526803591035</v>
      </c>
      <c r="D53" s="83" t="n">
        <f aca="false">IF(D48&gt;0,D52/D48,"keine")</f>
        <v>3.2065873033938</v>
      </c>
      <c r="E53" s="35" t="s">
        <v>72</v>
      </c>
      <c r="F53" s="61" t="s">
        <v>508</v>
      </c>
    </row>
    <row r="54" customFormat="false" ht="15" hidden="false" customHeight="true" outlineLevel="0" collapsed="false">
      <c r="A54" s="54" t="s">
        <v>98</v>
      </c>
      <c r="B54" s="83" t="str">
        <f aca="false">IF(B49&gt;0,B50/B49,"keine")</f>
        <v>keine</v>
      </c>
      <c r="C54" s="83" t="n">
        <f aca="false">IF(C49&gt;0,C50/C49,"keine")</f>
        <v>17.0602895798718</v>
      </c>
      <c r="D54" s="83" t="n">
        <f aca="false">IF(D49&gt;0,D50/D49,"keine")</f>
        <v>5.39007757024677</v>
      </c>
      <c r="E54" s="35" t="s">
        <v>72</v>
      </c>
      <c r="F54" s="61" t="s">
        <v>509</v>
      </c>
    </row>
    <row r="55" customFormat="false" ht="15" hidden="false" customHeight="true" outlineLevel="0" collapsed="false">
      <c r="A55" s="54" t="s">
        <v>100</v>
      </c>
      <c r="B55" s="84" t="n">
        <f aca="false">Horizont*B48-B52</f>
        <v>4307.95130434783</v>
      </c>
      <c r="C55" s="84" t="n">
        <f aca="false">Horizont*C48-C52</f>
        <v>29767.3173913044</v>
      </c>
      <c r="D55" s="84" t="n">
        <f aca="false">Horizont*D48-D52</f>
        <v>119154.391304348</v>
      </c>
      <c r="E55" s="35" t="s">
        <v>452</v>
      </c>
      <c r="F55" s="61" t="s">
        <v>510</v>
      </c>
    </row>
    <row r="56" customFormat="false" ht="15" hidden="false" customHeight="true" outlineLevel="0" collapsed="false">
      <c r="A56" s="54" t="s">
        <v>101</v>
      </c>
      <c r="B56" s="84" t="n">
        <f aca="false">Horizont*B49-B50</f>
        <v>-4548.04869565217</v>
      </c>
      <c r="C56" s="84" t="n">
        <f aca="false">Horizont*C49-C50</f>
        <v>3050.81739130435</v>
      </c>
      <c r="D56" s="84" t="n">
        <f aca="false">Horizont*D49-D50</f>
        <v>51789.3913043478</v>
      </c>
      <c r="E56" s="35" t="s">
        <v>452</v>
      </c>
      <c r="F56" s="61" t="s">
        <v>511</v>
      </c>
    </row>
    <row r="57" customFormat="false" ht="15" hidden="false" customHeight="true" outlineLevel="0" collapsed="false">
      <c r="A57" s="35" t="s">
        <v>102</v>
      </c>
      <c r="B57" s="85" t="n">
        <f aca="false">((B21-B22-B23*B26)/60)*Stundensatz-B11</f>
        <v>5.98608695652174</v>
      </c>
      <c r="C57" s="85" t="n">
        <f aca="false">((C21-C22-C23*C26)/60)*Stundensatz-C11</f>
        <v>5.98608695652174</v>
      </c>
      <c r="D57" s="85" t="n">
        <f aca="false">((D21-D22-D23*D26)/60)*Stundensatz-D11</f>
        <v>5.98608695652174</v>
      </c>
      <c r="E57" s="35" t="s">
        <v>452</v>
      </c>
      <c r="F57" s="61" t="s">
        <v>512</v>
      </c>
    </row>
    <row r="58" customFormat="false" ht="15" hidden="false" customHeight="true" outlineLevel="0" collapsed="false">
      <c r="A58" s="54" t="s">
        <v>513</v>
      </c>
      <c r="B58" s="86" t="n">
        <f aca="false">IF(B57&gt;0,ROUNDUP((B39*Stundensatz+B29)/B57,0),"nie")</f>
        <v>23</v>
      </c>
      <c r="C58" s="86" t="n">
        <f aca="false">IF(C57&gt;0,ROUNDUP((C39*Stundensatz+C29)/C57,0),"nie")</f>
        <v>46</v>
      </c>
      <c r="D58" s="86" t="n">
        <f aca="false">IF(D57&gt;0,ROUNDUP((D39*Stundensatz+D29)/D57,0),"nie")</f>
        <v>93</v>
      </c>
      <c r="E58" s="35" t="s">
        <v>514</v>
      </c>
      <c r="F58" s="61" t="s">
        <v>515</v>
      </c>
    </row>
    <row r="59" customFormat="false" ht="15" hidden="false" customHeight="true" outlineLevel="0" collapsed="false">
      <c r="A59" s="68" t="s">
        <v>516</v>
      </c>
    </row>
    <row r="60" customFormat="false" ht="15" hidden="false" customHeight="true" outlineLevel="0" collapsed="false">
      <c r="A60" s="35" t="s">
        <v>517</v>
      </c>
      <c r="B60" s="60" t="n">
        <f aca="false">B42*Stundensatz_KMU-B45</f>
        <v>241.86495819398</v>
      </c>
      <c r="C60" s="60" t="n">
        <f aca="false">C42*Stundensatz_KMU-C45</f>
        <v>1085.23277591973</v>
      </c>
      <c r="D60" s="60" t="n">
        <f aca="false">D42*Stundensatz_KMU-D45</f>
        <v>3869.3095735786</v>
      </c>
      <c r="E60" s="35" t="s">
        <v>466</v>
      </c>
      <c r="F60" s="61" t="s">
        <v>518</v>
      </c>
    </row>
    <row r="61" customFormat="false" ht="15" hidden="false" customHeight="true" outlineLevel="0" collapsed="false">
      <c r="A61" s="35" t="s">
        <v>519</v>
      </c>
      <c r="B61" s="71" t="n">
        <f aca="false">IF(B60&gt;0,(B50+(B35+B36)*Stundensatz_KMU)/B60,"keine")</f>
        <v>17.7483019439695</v>
      </c>
      <c r="C61" s="71" t="n">
        <f aca="false">IF(C60&gt;0,(C50+(C35+C36)*Stundensatz_KMU)/C60,"keine")</f>
        <v>7.86151571214782</v>
      </c>
      <c r="D61" s="71" t="n">
        <f aca="false">IF(D60&gt;0,(D50+(D35+D36)*Stundensatz_KMU)/D60,"keine")</f>
        <v>4.47353587588463</v>
      </c>
      <c r="E61" s="35" t="s">
        <v>72</v>
      </c>
      <c r="F61" s="61" t="s">
        <v>520</v>
      </c>
    </row>
    <row r="62" customFormat="false" ht="15" hidden="false" customHeight="true" outlineLevel="0" collapsed="false">
      <c r="A62" s="35" t="s">
        <v>521</v>
      </c>
      <c r="B62" s="82" t="n">
        <f aca="false">Horizont*B60-(B50+(B35+B36)*Stundensatz_KMU)</f>
        <v>1512.06668896321</v>
      </c>
      <c r="C62" s="82" t="n">
        <f aca="false">Horizont*C60-(C50+(C35+C36)*Stundensatz_KMU)</f>
        <v>17514.0121028428</v>
      </c>
      <c r="D62" s="82" t="n">
        <f aca="false">Horizont*D60-(D50+(D35+D36)*Stundensatz_KMU)</f>
        <v>75553.9345735786</v>
      </c>
      <c r="E62" s="35" t="s">
        <v>452</v>
      </c>
      <c r="F62" s="61" t="s">
        <v>522</v>
      </c>
    </row>
    <row r="63" customFormat="false" ht="15" hidden="false" customHeight="true" outlineLevel="0" collapsed="false">
      <c r="A63" s="35" t="s">
        <v>523</v>
      </c>
      <c r="B63" s="60" t="n">
        <f aca="false">(B40-((B16*(B21+B22)/2+B16*B23*B26)/60+B39))*Stundensatz-B45</f>
        <v>84.3313043478262</v>
      </c>
      <c r="C63" s="60" t="n">
        <f aca="false">(C40-((C16*(C21+C22)/2+C16*C23*C26)/60+C39))*Stundensatz-C45</f>
        <v>552.492391304348</v>
      </c>
      <c r="D63" s="60" t="n">
        <f aca="false">(D40-((D16*(D21+D22)/2+D16*D23*D26)/60+D39))*Stundensatz-D45</f>
        <v>2186.64130434783</v>
      </c>
      <c r="E63" s="35" t="s">
        <v>466</v>
      </c>
      <c r="F63" s="61" t="s">
        <v>524</v>
      </c>
    </row>
    <row r="64" customFormat="false" ht="15" hidden="false" customHeight="true" outlineLevel="0" collapsed="false">
      <c r="A64" s="35" t="s">
        <v>525</v>
      </c>
      <c r="B64" s="71" t="n">
        <f aca="false">IF(B63&gt;0,B52/B63,"keine")</f>
        <v>53.5981274682669</v>
      </c>
      <c r="C64" s="71" t="n">
        <f aca="false">IF(C63&gt;0,C52/C63,"keine")</f>
        <v>16.3033919412622</v>
      </c>
      <c r="D64" s="71" t="n">
        <f aca="false">IF(D63&gt;0,D52/D63,"keine")</f>
        <v>8.40329868619234</v>
      </c>
      <c r="E64" s="35" t="s">
        <v>72</v>
      </c>
      <c r="F64" s="61" t="s">
        <v>526</v>
      </c>
    </row>
    <row r="65" customFormat="false" ht="15" hidden="false" customHeight="true" outlineLevel="0" collapsed="false">
      <c r="A65" s="35" t="s">
        <v>527</v>
      </c>
      <c r="B65" s="60" t="n">
        <f aca="false">(B40-((B16*B22+B16*2*B23*B26)/60+B39))*Stundensatz-B45</f>
        <v>304.831304347826</v>
      </c>
      <c r="C65" s="60" t="n">
        <f aca="false">(C40-((C16*C22+C16*2*C23*C26)/60+C39))*Stundensatz-C45</f>
        <v>1379.36739130435</v>
      </c>
      <c r="D65" s="60" t="n">
        <f aca="false">(D40-((D16*D22+D16*2*D23*D26)/60+D39))*Stundensatz-D45</f>
        <v>4942.89130434783</v>
      </c>
      <c r="E65" s="35" t="s">
        <v>466</v>
      </c>
      <c r="F65" s="61" t="s">
        <v>528</v>
      </c>
    </row>
    <row r="66" customFormat="false" ht="15" hidden="false" customHeight="true" outlineLevel="0" collapsed="false">
      <c r="A66" s="35" t="s">
        <v>529</v>
      </c>
      <c r="B66" s="60" t="n">
        <f aca="false">B43-(B44*Preisfaktor_Szenario*USD_je_EUR/USD_je_EUR_Szenario+B29)</f>
        <v>367.08</v>
      </c>
      <c r="C66" s="60" t="n">
        <f aca="false">C43-(C44*Preisfaktor_Szenario*USD_je_EUR/USD_je_EUR_Szenario+C29)</f>
        <v>1612.8</v>
      </c>
      <c r="D66" s="60" t="n">
        <f aca="false">D43-(D44*Preisfaktor_Szenario*USD_je_EUR/USD_je_EUR_Szenario+D29)</f>
        <v>5721</v>
      </c>
      <c r="E66" s="35" t="s">
        <v>466</v>
      </c>
      <c r="F66" s="61" t="s">
        <v>530</v>
      </c>
    </row>
    <row r="67" customFormat="false" ht="15" hidden="false" customHeight="true" outlineLevel="0" collapsed="false">
      <c r="A67" s="35" t="s">
        <v>531</v>
      </c>
      <c r="B67" s="60" t="n">
        <f aca="false">B48-B16*(B12-B11)</f>
        <v>367.100869565217</v>
      </c>
      <c r="C67" s="60" t="n">
        <f aca="false">C48-C16*(C12-C11)</f>
        <v>1612.87826086957</v>
      </c>
      <c r="D67" s="60" t="n">
        <f aca="false">D48-D16*(D12-D11)</f>
        <v>5721.26086956522</v>
      </c>
      <c r="E67" s="35" t="s">
        <v>466</v>
      </c>
      <c r="F67" s="61" t="s">
        <v>532</v>
      </c>
    </row>
    <row r="68" customFormat="false" ht="15" hidden="false" customHeight="true" outlineLevel="0" collapsed="false">
      <c r="A68" s="35" t="s">
        <v>533</v>
      </c>
      <c r="B68" s="60" t="n">
        <f aca="false">B48-B39*(Extern_Stundensatz-Stundensatz)</f>
        <v>239.497971014493</v>
      </c>
      <c r="C68" s="60" t="n">
        <f aca="false">C48-C39*(Extern_Stundensatz-Stundensatz)</f>
        <v>1358.95072463768</v>
      </c>
      <c r="D68" s="60" t="n">
        <f aca="false">D48-D39*(Extern_Stundensatz-Stundensatz)</f>
        <v>5235.39130434783</v>
      </c>
      <c r="E68" s="35" t="s">
        <v>466</v>
      </c>
      <c r="F68" s="61" t="s">
        <v>534</v>
      </c>
    </row>
    <row r="69" customFormat="false" ht="15" hidden="false" customHeight="true" outlineLevel="0" collapsed="false">
      <c r="A69" s="35" t="s">
        <v>535</v>
      </c>
      <c r="B69" s="71" t="n">
        <f aca="false">IF(B68&gt;0,B52/B68,"keine")</f>
        <v>18.8728112428413</v>
      </c>
      <c r="C69" s="71" t="n">
        <f aca="false">IF(C68&gt;0,C52/C68,"keine")</f>
        <v>6.62827565171765</v>
      </c>
      <c r="D69" s="71" t="n">
        <f aca="false">IF(D68&gt;0,D52/D68,"keine")</f>
        <v>3.50976630624346</v>
      </c>
      <c r="E69" s="35" t="s">
        <v>72</v>
      </c>
      <c r="F69" s="61" t="s">
        <v>536</v>
      </c>
    </row>
    <row r="70" customFormat="false" ht="15" hidden="false" customHeight="true" outlineLevel="0" collapsed="false">
      <c r="A70" s="35" t="s">
        <v>537</v>
      </c>
      <c r="B70" s="74" t="n">
        <f aca="false">IF(B57&gt;0,ROUNDUP((B52/Horizont+B39*Stundensatz+B29)/B57,0),"nie")</f>
        <v>55</v>
      </c>
      <c r="C70" s="74" t="n">
        <f aca="false">IF(C57&gt;0,ROUNDUP((C52/Horizont+C39*Stundensatz+C29)/C57,0),"nie")</f>
        <v>108</v>
      </c>
      <c r="D70" s="74" t="n">
        <f aca="false">IF(D57&gt;0,ROUNDUP((D52/Horizont+D39*Stundensatz+D29)/D57,0),"nie")</f>
        <v>221</v>
      </c>
      <c r="E70" s="35" t="s">
        <v>514</v>
      </c>
      <c r="F70" s="61" t="s">
        <v>538</v>
      </c>
    </row>
    <row r="71" customFormat="false" ht="15" hidden="false" customHeight="true" outlineLevel="0" collapsed="false">
      <c r="A71" s="68" t="s">
        <v>613</v>
      </c>
    </row>
    <row r="72" customFormat="false" ht="15" hidden="false" customHeight="true" outlineLevel="0" collapsed="false">
      <c r="A72" s="35" t="s">
        <v>614</v>
      </c>
      <c r="B72" s="60" t="n">
        <f aca="false">((B16*(B18-B20-B23*B25))/60-B39)*Stundensatz-B45</f>
        <v>21.3313043478261</v>
      </c>
      <c r="C72" s="60" t="n">
        <f aca="false">((C16*(C18-C20-C23*C25))/60-C39)*Stundensatz-C45</f>
        <v>316.242391304348</v>
      </c>
      <c r="D72" s="60" t="n">
        <f aca="false">((D16*(D18-D20-D23*D25))/60-D39)*Stundensatz-D45</f>
        <v>1399.14130434783</v>
      </c>
      <c r="E72" s="35" t="s">
        <v>466</v>
      </c>
      <c r="F72" s="61" t="s">
        <v>615</v>
      </c>
    </row>
    <row r="73" customFormat="false" ht="15" hidden="false" customHeight="true" outlineLevel="0" collapsed="false">
      <c r="A73" s="35" t="s">
        <v>616</v>
      </c>
      <c r="B73" s="71" t="n">
        <f aca="false">IF(B72&gt;0,B52/B72,"keine")</f>
        <v>211.895153071624</v>
      </c>
      <c r="C73" s="71" t="n">
        <f aca="false">IF(C72&gt;0,C52/C72,"keine")</f>
        <v>28.4828987121189</v>
      </c>
      <c r="D73" s="71" t="n">
        <f aca="false">IF(D72&gt;0,D52/D72,"keine")</f>
        <v>13.1330552124362</v>
      </c>
      <c r="E73" s="35" t="s">
        <v>72</v>
      </c>
      <c r="F73" s="61" t="s">
        <v>617</v>
      </c>
    </row>
    <row r="74" customFormat="false" ht="15" hidden="false" customHeight="true" outlineLevel="0" collapsed="false">
      <c r="A74" s="35" t="s">
        <v>618</v>
      </c>
      <c r="B74" s="74" t="n">
        <f aca="false">IF(((B18-B20-B23*B25)/60)*Stundensatz-B11&gt;0,ROUNDUP((B39*Stundensatz+B29)/(((B18-B20-B23*B25)/60)*Stundensatz-B11),0),"nie")</f>
        <v>73</v>
      </c>
      <c r="C74" s="74" t="n">
        <f aca="false">IF(((C18-C20-C23*C25)/60)*Stundensatz-C11&gt;0,ROUNDUP((C39*Stundensatz+C29)/(((C18-C20-C23*C25)/60)*Stundensatz-C11),0),"nie")</f>
        <v>146</v>
      </c>
      <c r="D74" s="74" t="n">
        <f aca="false">IF(((D18-D20-D23*D25)/60)*Stundensatz-D11&gt;0,ROUNDUP((D39*Stundensatz+D29)/(((D18-D20-D23*D25)/60)*Stundensatz-D11),0),"nie")</f>
        <v>299</v>
      </c>
      <c r="E74" s="35" t="s">
        <v>619</v>
      </c>
      <c r="F74" s="61" t="s">
        <v>620</v>
      </c>
    </row>
    <row r="75" customFormat="false" ht="15" hidden="false" customHeight="true" outlineLevel="0" collapsed="false">
      <c r="A75" s="68" t="s">
        <v>621</v>
      </c>
    </row>
    <row r="76" customFormat="false" ht="15" hidden="false" customHeight="true" outlineLevel="0" collapsed="false">
      <c r="A76" s="35" t="s">
        <v>622</v>
      </c>
      <c r="B76" s="78" t="n">
        <v>6</v>
      </c>
      <c r="C76" s="78" t="n">
        <v>6</v>
      </c>
      <c r="D76" s="78" t="n">
        <v>6</v>
      </c>
      <c r="E76" s="35" t="s">
        <v>29</v>
      </c>
      <c r="F76" s="61" t="s">
        <v>623</v>
      </c>
    </row>
    <row r="77" customFormat="false" ht="15" hidden="false" customHeight="true" outlineLevel="0" collapsed="false">
      <c r="A77" s="35" t="s">
        <v>624</v>
      </c>
      <c r="B77" s="85" t="n">
        <f aca="false">((B76-B22-B23*B26)/60)*Stundensatz-B11</f>
        <v>-0.0139130434782609</v>
      </c>
      <c r="C77" s="85" t="n">
        <f aca="false">((C76-C22-C23*C26)/60)*Stundensatz-C11</f>
        <v>-0.0139130434782609</v>
      </c>
      <c r="D77" s="85" t="n">
        <f aca="false">((D76-D22-D23*D26)/60)*Stundensatz-D11</f>
        <v>-0.0139130434782609</v>
      </c>
      <c r="E77" s="35" t="s">
        <v>452</v>
      </c>
      <c r="F77" s="61" t="s">
        <v>625</v>
      </c>
    </row>
    <row r="78" customFormat="false" ht="15" hidden="false" customHeight="true" outlineLevel="0" collapsed="false">
      <c r="A78" s="35" t="s">
        <v>626</v>
      </c>
      <c r="B78" s="60" t="n">
        <f aca="false">(B16*B76/60-B41)*Stundensatz-B45</f>
        <v>-136.168695652174</v>
      </c>
      <c r="C78" s="60" t="n">
        <f aca="false">(C16*C76/60-C41)*Stundensatz-C45</f>
        <v>-274.382608695652</v>
      </c>
      <c r="D78" s="60" t="n">
        <f aca="false">(D16*D76/60-D41)*Stundensatz-D45</f>
        <v>-569.608695652174</v>
      </c>
      <c r="E78" s="35" t="s">
        <v>466</v>
      </c>
      <c r="F78" s="61" t="s">
        <v>627</v>
      </c>
    </row>
    <row r="79" customFormat="false" ht="15" hidden="false" customHeight="true" outlineLevel="0" collapsed="false">
      <c r="A79" s="68" t="s">
        <v>628</v>
      </c>
    </row>
    <row r="80" customFormat="false" ht="15" hidden="false" customHeight="true" outlineLevel="0" collapsed="false">
      <c r="A80" s="35" t="s">
        <v>629</v>
      </c>
      <c r="B80" s="39" t="n">
        <v>60</v>
      </c>
      <c r="C80" s="39" t="n">
        <v>60</v>
      </c>
      <c r="D80" s="39" t="n">
        <v>60</v>
      </c>
      <c r="E80" s="35" t="s">
        <v>147</v>
      </c>
      <c r="F80" s="61" t="s">
        <v>630</v>
      </c>
    </row>
    <row r="81" customFormat="false" ht="15" hidden="false" customHeight="true" outlineLevel="0" collapsed="false">
      <c r="A81" s="35" t="s">
        <v>631</v>
      </c>
      <c r="B81" s="71" t="n">
        <f aca="false">MAX(0,B50/12-B49)/B80</f>
        <v>5.79725603864734</v>
      </c>
      <c r="C81" s="71" t="n">
        <f aca="false">MAX(0,C50/12-C49)/C80</f>
        <v>3.08971014492754</v>
      </c>
      <c r="D81" s="71" t="n">
        <f aca="false">MAX(0,D50/12-D49)/D80</f>
        <v>0</v>
      </c>
      <c r="E81" s="35" t="s">
        <v>48</v>
      </c>
      <c r="F81" s="61" t="s">
        <v>632</v>
      </c>
    </row>
    <row r="82" customFormat="false" ht="15" hidden="false" customHeight="true" outlineLevel="0" collapsed="false">
      <c r="A82" s="35" t="s">
        <v>633</v>
      </c>
      <c r="B82" s="71" t="n">
        <f aca="false">B81/B14</f>
        <v>1.44931400966184</v>
      </c>
      <c r="C82" s="71" t="n">
        <f aca="false">C81/C14</f>
        <v>0.205980676328502</v>
      </c>
      <c r="D82" s="71" t="n">
        <f aca="false">D81/D14</f>
        <v>0</v>
      </c>
      <c r="E82" s="35" t="s">
        <v>48</v>
      </c>
      <c r="F82" s="61" t="s">
        <v>634</v>
      </c>
    </row>
  </sheetData>
  <sheetProtection sheet="true" formatColumns="false" formatRows="false"/>
  <dataValidations count="1">
    <dataValidation allowBlank="false" errorStyle="stop" operator="between" showDropDown="false" showErrorMessage="false" showInputMessage="false" sqref="B10" type="list">
      <formula1>Preise!$A$5:$A$17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9" width="60"/>
    <col collapsed="false" customWidth="true" hidden="false" outlineLevel="0" max="5" min="2" style="29" width="16"/>
    <col collapsed="false" customWidth="true" hidden="false" outlineLevel="0" max="6" min="6" style="29" width="80"/>
  </cols>
  <sheetData>
    <row r="1" customFormat="false" ht="17.25" hidden="false" customHeight="true" outlineLevel="0" collapsed="false">
      <c r="A1" s="33" t="s">
        <v>635</v>
      </c>
    </row>
    <row r="2" customFormat="false" ht="15" hidden="false" customHeight="true" outlineLevel="0" collapsed="false">
      <c r="A2" s="48" t="s">
        <v>636</v>
      </c>
    </row>
    <row r="4" customFormat="false" ht="23.25" hidden="false" customHeight="true" outlineLevel="0" collapsed="false">
      <c r="A4" s="34" t="s">
        <v>440</v>
      </c>
      <c r="B4" s="34" t="s">
        <v>574</v>
      </c>
      <c r="C4" s="34" t="s">
        <v>575</v>
      </c>
      <c r="D4" s="34" t="s">
        <v>576</v>
      </c>
      <c r="E4" s="34" t="s">
        <v>23</v>
      </c>
      <c r="F4" s="34" t="s">
        <v>444</v>
      </c>
    </row>
    <row r="5" customFormat="false" ht="15" hidden="false" customHeight="true" outlineLevel="0" collapsed="false">
      <c r="A5" s="68" t="s">
        <v>41</v>
      </c>
    </row>
    <row r="6" customFormat="false" ht="15" hidden="false" customHeight="true" outlineLevel="0" collapsed="false">
      <c r="A6" s="35" t="s">
        <v>637</v>
      </c>
      <c r="B6" s="40" t="n">
        <v>4000</v>
      </c>
      <c r="C6" s="74" t="n">
        <f aca="false">$B6</f>
        <v>4000</v>
      </c>
      <c r="D6" s="74" t="n">
        <f aca="false">$B6</f>
        <v>4000</v>
      </c>
      <c r="E6" s="35" t="s">
        <v>153</v>
      </c>
      <c r="F6" s="61" t="s">
        <v>638</v>
      </c>
    </row>
    <row r="7" customFormat="false" ht="15" hidden="false" customHeight="true" outlineLevel="0" collapsed="false">
      <c r="A7" s="35" t="s">
        <v>639</v>
      </c>
      <c r="B7" s="40" t="n">
        <v>600</v>
      </c>
      <c r="C7" s="74" t="n">
        <f aca="false">$B7</f>
        <v>600</v>
      </c>
      <c r="D7" s="74" t="n">
        <f aca="false">$B7</f>
        <v>600</v>
      </c>
      <c r="E7" s="35" t="s">
        <v>153</v>
      </c>
      <c r="F7" s="61" t="s">
        <v>448</v>
      </c>
    </row>
    <row r="8" customFormat="false" ht="15" hidden="false" customHeight="true" outlineLevel="0" collapsed="false">
      <c r="A8" s="35" t="s">
        <v>640</v>
      </c>
      <c r="B8" s="40" t="n">
        <v>0</v>
      </c>
      <c r="C8" s="74" t="n">
        <f aca="false">$B8</f>
        <v>0</v>
      </c>
      <c r="D8" s="74" t="n">
        <f aca="false">$B8</f>
        <v>0</v>
      </c>
      <c r="E8" s="35" t="s">
        <v>153</v>
      </c>
      <c r="F8" s="61" t="s">
        <v>582</v>
      </c>
    </row>
    <row r="9" customFormat="false" ht="15" hidden="false" customHeight="true" outlineLevel="0" collapsed="false">
      <c r="A9" s="35" t="s">
        <v>583</v>
      </c>
      <c r="B9" s="52" t="s">
        <v>208</v>
      </c>
      <c r="C9" s="35" t="str">
        <f aca="false">$B9</f>
        <v>Claude Sonnet 5.5</v>
      </c>
      <c r="D9" s="35" t="str">
        <f aca="false">$B9</f>
        <v>Claude Sonnet 5.5</v>
      </c>
      <c r="E9" s="35"/>
      <c r="F9" s="61" t="s">
        <v>451</v>
      </c>
    </row>
    <row r="10" customFormat="false" ht="15" hidden="false" customHeight="true" outlineLevel="0" collapsed="false">
      <c r="A10" s="35" t="s">
        <v>243</v>
      </c>
      <c r="B10" s="52" t="s">
        <v>244</v>
      </c>
      <c r="C10" s="35" t="str">
        <f aca="false">$B10</f>
        <v>Nein</v>
      </c>
      <c r="D10" s="35" t="str">
        <f aca="false">$B10</f>
        <v>Nein</v>
      </c>
      <c r="E10" s="35"/>
      <c r="F10" s="61" t="s">
        <v>641</v>
      </c>
    </row>
    <row r="11" customFormat="false" ht="15" hidden="false" customHeight="true" outlineLevel="0" collapsed="false">
      <c r="A11" s="54" t="s">
        <v>41</v>
      </c>
      <c r="B11" s="56" t="n">
        <f aca="false">(B6*INDEX(Preise!$B$5:$B$17,MATCH(B9,Preise!$A$5:$A$17,0))+(B7+B8)*INDEX(Preise!$C$5:$C$17,MATCH(B9,Preise!$A$5:$A$17,0)))/1000000*IF(B10="Ja",Batchfaktor,1)/USD_je_EUR</f>
        <v>0.0121739130434783</v>
      </c>
      <c r="C11" s="56" t="n">
        <f aca="false">(C6*INDEX(Preise!$B$5:$B$17,MATCH(C9,Preise!$A$5:$A$17,0))+(C7+C8)*INDEX(Preise!$C$5:$C$17,MATCH(C9,Preise!$A$5:$A$17,0)))/1000000*IF(C10="Ja",Batchfaktor,1)/USD_je_EUR</f>
        <v>0.0121739130434783</v>
      </c>
      <c r="D11" s="56" t="n">
        <f aca="false">(D6*INDEX(Preise!$B$5:$B$17,MATCH(D9,Preise!$A$5:$A$17,0))+(D7+D8)*INDEX(Preise!$C$5:$C$17,MATCH(D9,Preise!$A$5:$A$17,0)))/1000000*IF(D10="Ja",Batchfaktor,1)/USD_je_EUR</f>
        <v>0.0121739130434783</v>
      </c>
      <c r="E11" s="35" t="s">
        <v>452</v>
      </c>
      <c r="F11" s="53" t="s">
        <v>453</v>
      </c>
    </row>
    <row r="12" customFormat="false" ht="15" hidden="false" customHeight="true" outlineLevel="0" collapsed="false">
      <c r="A12" s="35" t="s">
        <v>454</v>
      </c>
      <c r="B12" s="56" t="n">
        <f aca="false">B11+Denk_Tokens_Szenario*INDEX(Preise!$C$5:$C$17,MATCH(B9,Preise!$A$5:$A$17,0))/1000000*IF(B10="Ja",Batchfaktor,1)/USD_je_EUR</f>
        <v>0.0208695652173913</v>
      </c>
      <c r="C12" s="56" t="n">
        <f aca="false">C11+Denk_Tokens_Szenario*INDEX(Preise!$C$5:$C$17,MATCH(C9,Preise!$A$5:$A$17,0))/1000000*IF(C10="Ja",Batchfaktor,1)/USD_je_EUR</f>
        <v>0.0208695652173913</v>
      </c>
      <c r="D12" s="56" t="n">
        <f aca="false">D11+Denk_Tokens_Szenario*INDEX(Preise!$C$5:$C$17,MATCH(D9,Preise!$A$5:$A$17,0))/1000000*IF(D10="Ja",Batchfaktor,1)/USD_je_EUR</f>
        <v>0.0208695652173913</v>
      </c>
      <c r="E12" s="35" t="s">
        <v>452</v>
      </c>
      <c r="F12" s="61" t="s">
        <v>455</v>
      </c>
    </row>
    <row r="13" customFormat="false" ht="15" hidden="false" customHeight="true" outlineLevel="0" collapsed="false">
      <c r="A13" s="68" t="s">
        <v>456</v>
      </c>
    </row>
    <row r="14" customFormat="false" ht="15" hidden="false" customHeight="true" outlineLevel="0" collapsed="false">
      <c r="A14" s="35" t="s">
        <v>642</v>
      </c>
      <c r="B14" s="46" t="n">
        <v>60</v>
      </c>
      <c r="C14" s="46" t="n">
        <v>300</v>
      </c>
      <c r="D14" s="46" t="n">
        <v>1200</v>
      </c>
      <c r="E14" s="35" t="s">
        <v>26</v>
      </c>
      <c r="F14" s="61" t="s">
        <v>457</v>
      </c>
    </row>
    <row r="15" customFormat="false" ht="15" hidden="false" customHeight="true" outlineLevel="0" collapsed="false">
      <c r="A15" s="35" t="s">
        <v>643</v>
      </c>
      <c r="B15" s="78" t="n">
        <v>3</v>
      </c>
      <c r="C15" s="78" t="n">
        <v>3</v>
      </c>
      <c r="D15" s="78" t="n">
        <v>3</v>
      </c>
      <c r="E15" s="35" t="s">
        <v>29</v>
      </c>
      <c r="F15" s="61" t="s">
        <v>644</v>
      </c>
    </row>
    <row r="16" customFormat="false" ht="15" hidden="false" customHeight="true" outlineLevel="0" collapsed="false">
      <c r="A16" s="35" t="s">
        <v>645</v>
      </c>
      <c r="B16" s="78" t="n">
        <v>1</v>
      </c>
      <c r="C16" s="78" t="n">
        <v>1</v>
      </c>
      <c r="D16" s="78" t="n">
        <v>1</v>
      </c>
      <c r="E16" s="35" t="s">
        <v>29</v>
      </c>
      <c r="F16" s="61" t="s">
        <v>646</v>
      </c>
    </row>
    <row r="17" customFormat="false" ht="15" hidden="false" customHeight="true" outlineLevel="0" collapsed="false">
      <c r="A17" s="35" t="s">
        <v>647</v>
      </c>
      <c r="B17" s="69" t="n">
        <v>0.1</v>
      </c>
      <c r="C17" s="69" t="n">
        <v>0.1</v>
      </c>
      <c r="D17" s="69" t="n">
        <v>0.1</v>
      </c>
      <c r="E17" s="35" t="s">
        <v>34</v>
      </c>
      <c r="F17" s="61" t="s">
        <v>463</v>
      </c>
    </row>
    <row r="18" customFormat="false" ht="15" hidden="false" customHeight="true" outlineLevel="0" collapsed="false">
      <c r="A18" s="35" t="s">
        <v>648</v>
      </c>
      <c r="B18" s="80" t="n">
        <v>4</v>
      </c>
      <c r="C18" s="80" t="n">
        <v>4</v>
      </c>
      <c r="D18" s="80" t="n">
        <v>4</v>
      </c>
      <c r="E18" s="35" t="s">
        <v>29</v>
      </c>
      <c r="F18" s="61" t="s">
        <v>649</v>
      </c>
    </row>
    <row r="19" customFormat="false" ht="15" hidden="false" customHeight="true" outlineLevel="0" collapsed="false">
      <c r="A19" s="35" t="s">
        <v>44</v>
      </c>
      <c r="B19" s="45" t="n">
        <v>20</v>
      </c>
      <c r="C19" s="45" t="n">
        <v>50</v>
      </c>
      <c r="D19" s="45" t="n">
        <v>120</v>
      </c>
      <c r="E19" s="35" t="s">
        <v>466</v>
      </c>
      <c r="F19" s="61" t="s">
        <v>467</v>
      </c>
    </row>
    <row r="20" customFormat="false" ht="15" hidden="false" customHeight="true" outlineLevel="0" collapsed="false">
      <c r="A20" s="35" t="s">
        <v>468</v>
      </c>
      <c r="B20" s="80" t="n">
        <v>2</v>
      </c>
      <c r="C20" s="80" t="n">
        <v>4</v>
      </c>
      <c r="D20" s="80" t="n">
        <v>8</v>
      </c>
      <c r="E20" s="35" t="s">
        <v>48</v>
      </c>
      <c r="F20" s="61" t="s">
        <v>469</v>
      </c>
    </row>
    <row r="21" customFormat="false" ht="15" hidden="false" customHeight="true" outlineLevel="0" collapsed="false">
      <c r="A21" s="35" t="s">
        <v>50</v>
      </c>
      <c r="B21" s="80" t="n">
        <v>4</v>
      </c>
      <c r="C21" s="80" t="n">
        <v>8</v>
      </c>
      <c r="D21" s="80" t="n">
        <v>12</v>
      </c>
      <c r="E21" s="35" t="s">
        <v>51</v>
      </c>
      <c r="F21" s="61" t="s">
        <v>470</v>
      </c>
    </row>
    <row r="22" customFormat="false" ht="15" hidden="false" customHeight="true" outlineLevel="0" collapsed="false">
      <c r="A22" s="35" t="s">
        <v>53</v>
      </c>
      <c r="B22" s="78" t="n">
        <v>25</v>
      </c>
      <c r="C22" s="78" t="n">
        <v>60</v>
      </c>
      <c r="D22" s="78" t="n">
        <v>120</v>
      </c>
      <c r="E22" s="35" t="s">
        <v>54</v>
      </c>
      <c r="F22" s="61" t="s">
        <v>471</v>
      </c>
    </row>
    <row r="23" customFormat="false" ht="15" hidden="false" customHeight="true" outlineLevel="0" collapsed="false">
      <c r="A23" s="35" t="s">
        <v>472</v>
      </c>
      <c r="B23" s="81" t="n">
        <v>200</v>
      </c>
      <c r="C23" s="81" t="n">
        <v>300</v>
      </c>
      <c r="D23" s="81" t="n">
        <v>500</v>
      </c>
      <c r="E23" s="35" t="s">
        <v>452</v>
      </c>
      <c r="F23" s="61" t="s">
        <v>473</v>
      </c>
    </row>
    <row r="24" customFormat="false" ht="15" hidden="false" customHeight="true" outlineLevel="0" collapsed="false">
      <c r="A24" s="35" t="s">
        <v>474</v>
      </c>
      <c r="B24" s="81" t="n">
        <v>200</v>
      </c>
      <c r="C24" s="81" t="n">
        <v>400</v>
      </c>
      <c r="D24" s="81" t="n">
        <v>800</v>
      </c>
      <c r="E24" s="35" t="s">
        <v>452</v>
      </c>
      <c r="F24" s="61" t="s">
        <v>475</v>
      </c>
    </row>
    <row r="25" customFormat="false" ht="15" hidden="false" customHeight="true" outlineLevel="0" collapsed="false">
      <c r="A25" s="35" t="s">
        <v>62</v>
      </c>
      <c r="B25" s="80" t="n">
        <v>2</v>
      </c>
      <c r="C25" s="80" t="n">
        <v>4</v>
      </c>
      <c r="D25" s="80" t="n">
        <v>8</v>
      </c>
      <c r="E25" s="35" t="s">
        <v>63</v>
      </c>
      <c r="F25" s="61" t="s">
        <v>476</v>
      </c>
    </row>
    <row r="26" customFormat="false" ht="15" hidden="false" customHeight="true" outlineLevel="0" collapsed="false">
      <c r="A26" s="35" t="s">
        <v>477</v>
      </c>
      <c r="B26" s="80" t="n">
        <v>12</v>
      </c>
      <c r="C26" s="80" t="n">
        <v>24</v>
      </c>
      <c r="D26" s="80" t="n">
        <v>40</v>
      </c>
      <c r="E26" s="35" t="s">
        <v>63</v>
      </c>
      <c r="F26" s="61" t="s">
        <v>478</v>
      </c>
    </row>
    <row r="27" customFormat="false" ht="21.75" hidden="false" customHeight="true" outlineLevel="0" collapsed="false">
      <c r="A27" s="35" t="s">
        <v>479</v>
      </c>
      <c r="B27" s="69" t="n">
        <v>0</v>
      </c>
      <c r="C27" s="69" t="n">
        <v>0.3</v>
      </c>
      <c r="D27" s="69" t="n">
        <v>0.5</v>
      </c>
      <c r="E27" s="35" t="s">
        <v>34</v>
      </c>
      <c r="F27" s="61" t="s">
        <v>480</v>
      </c>
    </row>
    <row r="28" customFormat="false" ht="15" hidden="false" customHeight="true" outlineLevel="0" collapsed="false">
      <c r="A28" s="68" t="s">
        <v>481</v>
      </c>
    </row>
    <row r="29" customFormat="false" ht="15" hidden="false" customHeight="true" outlineLevel="0" collapsed="false">
      <c r="A29" s="35" t="s">
        <v>482</v>
      </c>
      <c r="B29" s="71" t="n">
        <f aca="false">B20+B21/12</f>
        <v>2.33333333333333</v>
      </c>
      <c r="C29" s="71" t="n">
        <f aca="false">C20+C21/12</f>
        <v>4.66666666666667</v>
      </c>
      <c r="D29" s="71" t="n">
        <f aca="false">D20+D21/12</f>
        <v>9</v>
      </c>
      <c r="E29" s="35" t="s">
        <v>48</v>
      </c>
      <c r="F29" s="61" t="s">
        <v>483</v>
      </c>
    </row>
    <row r="30" customFormat="false" ht="15" hidden="false" customHeight="true" outlineLevel="0" collapsed="false">
      <c r="A30" s="35" t="s">
        <v>484</v>
      </c>
      <c r="B30" s="71" t="n">
        <f aca="false">B14*B15/60</f>
        <v>3</v>
      </c>
      <c r="C30" s="71" t="n">
        <f aca="false">C14*C15/60</f>
        <v>15</v>
      </c>
      <c r="D30" s="71" t="n">
        <f aca="false">D14*D15/60</f>
        <v>60</v>
      </c>
      <c r="E30" s="35" t="s">
        <v>48</v>
      </c>
      <c r="F30" s="61" t="s">
        <v>485</v>
      </c>
    </row>
    <row r="31" customFormat="false" ht="15" hidden="false" customHeight="true" outlineLevel="0" collapsed="false">
      <c r="A31" s="35" t="s">
        <v>486</v>
      </c>
      <c r="B31" s="71" t="n">
        <f aca="false">(B14*B16+B14*B17*B18)/60+B29</f>
        <v>3.73333333333333</v>
      </c>
      <c r="C31" s="71" t="n">
        <f aca="false">(C14*C16+C14*C17*C18)/60+C29</f>
        <v>11.6666666666667</v>
      </c>
      <c r="D31" s="71" t="n">
        <f aca="false">(D14*D16+D14*D17*D18)/60+D29</f>
        <v>37</v>
      </c>
      <c r="E31" s="35" t="s">
        <v>48</v>
      </c>
      <c r="F31" s="61" t="s">
        <v>487</v>
      </c>
    </row>
    <row r="32" customFormat="false" ht="15" hidden="false" customHeight="true" outlineLevel="0" collapsed="false">
      <c r="A32" s="35" t="s">
        <v>79</v>
      </c>
      <c r="B32" s="71" t="n">
        <f aca="false">B30-B31</f>
        <v>-0.733333333333333</v>
      </c>
      <c r="C32" s="71" t="n">
        <f aca="false">C30-C31</f>
        <v>3.33333333333333</v>
      </c>
      <c r="D32" s="71" t="n">
        <f aca="false">D30-D31</f>
        <v>23</v>
      </c>
      <c r="E32" s="35" t="s">
        <v>48</v>
      </c>
      <c r="F32" s="61" t="s">
        <v>488</v>
      </c>
    </row>
    <row r="33" customFormat="false" ht="15" hidden="false" customHeight="true" outlineLevel="0" collapsed="false">
      <c r="A33" s="35" t="s">
        <v>489</v>
      </c>
      <c r="B33" s="60" t="n">
        <f aca="false">B32*Stundensatz</f>
        <v>-33</v>
      </c>
      <c r="C33" s="60" t="n">
        <f aca="false">C32*Stundensatz</f>
        <v>150</v>
      </c>
      <c r="D33" s="60" t="n">
        <f aca="false">D32*Stundensatz</f>
        <v>1035</v>
      </c>
      <c r="E33" s="35" t="s">
        <v>466</v>
      </c>
      <c r="F33" s="61" t="s">
        <v>490</v>
      </c>
    </row>
    <row r="34" customFormat="false" ht="15" hidden="false" customHeight="true" outlineLevel="0" collapsed="false">
      <c r="A34" s="35" t="s">
        <v>491</v>
      </c>
      <c r="B34" s="60" t="n">
        <f aca="false">B14*B11</f>
        <v>0.730434782608696</v>
      </c>
      <c r="C34" s="60" t="n">
        <f aca="false">C14*C11</f>
        <v>3.65217391304348</v>
      </c>
      <c r="D34" s="60" t="n">
        <f aca="false">D14*D11</f>
        <v>14.6086956521739</v>
      </c>
      <c r="E34" s="35" t="s">
        <v>466</v>
      </c>
      <c r="F34" s="61" t="s">
        <v>492</v>
      </c>
    </row>
    <row r="35" customFormat="false" ht="15" hidden="false" customHeight="true" outlineLevel="0" collapsed="false">
      <c r="A35" s="35" t="s">
        <v>493</v>
      </c>
      <c r="B35" s="60" t="n">
        <f aca="false">B34+B19</f>
        <v>20.7304347826087</v>
      </c>
      <c r="C35" s="60" t="n">
        <f aca="false">C34+C19</f>
        <v>53.6521739130435</v>
      </c>
      <c r="D35" s="60" t="n">
        <f aca="false">D34+D19</f>
        <v>134.608695652174</v>
      </c>
      <c r="E35" s="35" t="s">
        <v>466</v>
      </c>
      <c r="F35" s="61" t="s">
        <v>494</v>
      </c>
    </row>
    <row r="36" customFormat="false" ht="15" hidden="false" customHeight="true" outlineLevel="0" collapsed="false">
      <c r="A36" s="35" t="s">
        <v>495</v>
      </c>
      <c r="B36" s="60" t="n">
        <f aca="false">B15/60*Stundensatz</f>
        <v>2.25</v>
      </c>
      <c r="C36" s="60" t="n">
        <f aca="false">C15/60*Stundensatz</f>
        <v>2.25</v>
      </c>
      <c r="D36" s="60" t="n">
        <f aca="false">D15/60*Stundensatz</f>
        <v>2.25</v>
      </c>
      <c r="E36" s="35" t="s">
        <v>452</v>
      </c>
      <c r="F36" s="61" t="s">
        <v>496</v>
      </c>
    </row>
    <row r="37" customFormat="false" ht="15" hidden="false" customHeight="true" outlineLevel="0" collapsed="false">
      <c r="A37" s="35" t="s">
        <v>497</v>
      </c>
      <c r="B37" s="60" t="n">
        <f aca="false">(B31*Stundensatz+B35)/B14</f>
        <v>3.14550724637681</v>
      </c>
      <c r="C37" s="60" t="n">
        <f aca="false">(C31*Stundensatz+C35)/C14</f>
        <v>1.92884057971014</v>
      </c>
      <c r="D37" s="60" t="n">
        <f aca="false">(D31*Stundensatz+D35)/D14</f>
        <v>1.49967391304348</v>
      </c>
      <c r="E37" s="35" t="s">
        <v>452</v>
      </c>
      <c r="F37" s="61" t="s">
        <v>498</v>
      </c>
    </row>
    <row r="38" customFormat="false" ht="15" hidden="false" customHeight="true" outlineLevel="0" collapsed="false">
      <c r="A38" s="54" t="s">
        <v>499</v>
      </c>
      <c r="B38" s="57" t="n">
        <f aca="false">B33-B35</f>
        <v>-53.7304347826087</v>
      </c>
      <c r="C38" s="57" t="n">
        <f aca="false">C33-C35</f>
        <v>96.3478260869565</v>
      </c>
      <c r="D38" s="57" t="n">
        <f aca="false">D33-D35</f>
        <v>900.391304347826</v>
      </c>
      <c r="E38" s="35" t="s">
        <v>466</v>
      </c>
      <c r="F38" s="61" t="s">
        <v>500</v>
      </c>
    </row>
    <row r="39" customFormat="false" ht="15" hidden="false" customHeight="true" outlineLevel="0" collapsed="false">
      <c r="A39" s="54" t="s">
        <v>501</v>
      </c>
      <c r="B39" s="57" t="n">
        <f aca="false">B33*B27-B35</f>
        <v>-20.7304347826087</v>
      </c>
      <c r="C39" s="57" t="n">
        <f aca="false">C33*C27-C35</f>
        <v>-8.6521739130435</v>
      </c>
      <c r="D39" s="57" t="n">
        <f aca="false">D33*D27-D35</f>
        <v>382.891304347826</v>
      </c>
      <c r="E39" s="35" t="s">
        <v>466</v>
      </c>
      <c r="F39" s="61" t="s">
        <v>502</v>
      </c>
    </row>
    <row r="40" customFormat="false" ht="15" hidden="false" customHeight="true" outlineLevel="0" collapsed="false">
      <c r="A40" s="35" t="s">
        <v>503</v>
      </c>
      <c r="B40" s="82" t="n">
        <f aca="false">B22*Extern_Stundensatz+B23+B24</f>
        <v>2900</v>
      </c>
      <c r="C40" s="82" t="n">
        <f aca="false">C22*Extern_Stundensatz+C23+C24</f>
        <v>6700</v>
      </c>
      <c r="D40" s="82" t="n">
        <f aca="false">D22*Extern_Stundensatz+D23+D24</f>
        <v>13300</v>
      </c>
      <c r="E40" s="35" t="s">
        <v>452</v>
      </c>
      <c r="F40" s="61" t="s">
        <v>504</v>
      </c>
    </row>
    <row r="41" customFormat="false" ht="15" hidden="false" customHeight="true" outlineLevel="0" collapsed="false">
      <c r="A41" s="35" t="s">
        <v>505</v>
      </c>
      <c r="B41" s="82" t="n">
        <f aca="false">(B25+B26)*Stundensatz</f>
        <v>630</v>
      </c>
      <c r="C41" s="82" t="n">
        <f aca="false">(C25+C26)*Stundensatz</f>
        <v>1260</v>
      </c>
      <c r="D41" s="82" t="n">
        <f aca="false">(D25+D26)*Stundensatz</f>
        <v>2160</v>
      </c>
      <c r="E41" s="35" t="s">
        <v>452</v>
      </c>
      <c r="F41" s="61" t="s">
        <v>506</v>
      </c>
    </row>
    <row r="42" customFormat="false" ht="15" hidden="false" customHeight="true" outlineLevel="0" collapsed="false">
      <c r="A42" s="35" t="s">
        <v>95</v>
      </c>
      <c r="B42" s="82" t="n">
        <f aca="false">B40+B41</f>
        <v>3530</v>
      </c>
      <c r="C42" s="82" t="n">
        <f aca="false">C40+C41</f>
        <v>7960</v>
      </c>
      <c r="D42" s="82" t="n">
        <f aca="false">D40+D41</f>
        <v>15460</v>
      </c>
      <c r="E42" s="35" t="s">
        <v>452</v>
      </c>
      <c r="F42" s="61" t="s">
        <v>507</v>
      </c>
    </row>
    <row r="43" customFormat="false" ht="15" hidden="false" customHeight="true" outlineLevel="0" collapsed="false">
      <c r="A43" s="54" t="s">
        <v>96</v>
      </c>
      <c r="B43" s="83" t="str">
        <f aca="false">IF(B38&gt;0,B42/B38,"keine")</f>
        <v>keine</v>
      </c>
      <c r="C43" s="83" t="n">
        <f aca="false">IF(C38&gt;0,C42/C38,"keine")</f>
        <v>82.6173285198556</v>
      </c>
      <c r="D43" s="83" t="n">
        <f aca="false">IF(D38&gt;0,D42/D38,"keine")</f>
        <v>17.1703124245497</v>
      </c>
      <c r="E43" s="35" t="s">
        <v>72</v>
      </c>
      <c r="F43" s="61" t="s">
        <v>508</v>
      </c>
    </row>
    <row r="44" customFormat="false" ht="15" hidden="false" customHeight="true" outlineLevel="0" collapsed="false">
      <c r="A44" s="54" t="s">
        <v>98</v>
      </c>
      <c r="B44" s="83" t="str">
        <f aca="false">IF(B39&gt;0,B40/B39,"keine")</f>
        <v>keine</v>
      </c>
      <c r="C44" s="83" t="str">
        <f aca="false">IF(C39&gt;0,C40/C39,"keine")</f>
        <v>keine</v>
      </c>
      <c r="D44" s="83" t="n">
        <f aca="false">IF(D39&gt;0,D40/D39,"keine")</f>
        <v>34.7357065803668</v>
      </c>
      <c r="E44" s="35" t="s">
        <v>72</v>
      </c>
      <c r="F44" s="61" t="s">
        <v>509</v>
      </c>
    </row>
    <row r="45" customFormat="false" ht="15" hidden="false" customHeight="true" outlineLevel="0" collapsed="false">
      <c r="A45" s="54" t="s">
        <v>100</v>
      </c>
      <c r="B45" s="84" t="n">
        <f aca="false">Horizont*B38-B42</f>
        <v>-4819.53043478261</v>
      </c>
      <c r="C45" s="84" t="n">
        <f aca="false">Horizont*C38-C42</f>
        <v>-5647.65217391305</v>
      </c>
      <c r="D45" s="84" t="n">
        <f aca="false">Horizont*D38-D42</f>
        <v>6149.39130434783</v>
      </c>
      <c r="E45" s="35" t="s">
        <v>452</v>
      </c>
      <c r="F45" s="61" t="s">
        <v>510</v>
      </c>
    </row>
    <row r="46" customFormat="false" ht="15" hidden="false" customHeight="true" outlineLevel="0" collapsed="false">
      <c r="A46" s="54" t="s">
        <v>101</v>
      </c>
      <c r="B46" s="84" t="n">
        <f aca="false">Horizont*B39-B40</f>
        <v>-3397.53043478261</v>
      </c>
      <c r="C46" s="84" t="n">
        <f aca="false">Horizont*C39-C40</f>
        <v>-6907.65217391304</v>
      </c>
      <c r="D46" s="84" t="n">
        <f aca="false">Horizont*D39-D40</f>
        <v>-4110.60869565217</v>
      </c>
      <c r="E46" s="35" t="s">
        <v>452</v>
      </c>
      <c r="F46" s="61" t="s">
        <v>511</v>
      </c>
    </row>
    <row r="47" customFormat="false" ht="15" hidden="false" customHeight="true" outlineLevel="0" collapsed="false">
      <c r="A47" s="35" t="s">
        <v>102</v>
      </c>
      <c r="B47" s="85" t="n">
        <f aca="false">((B15-B16-B17*B18)/60)*Stundensatz-B11</f>
        <v>1.18782608695652</v>
      </c>
      <c r="C47" s="85" t="n">
        <f aca="false">((C15-C16-C17*C18)/60)*Stundensatz-C11</f>
        <v>1.18782608695652</v>
      </c>
      <c r="D47" s="85" t="n">
        <f aca="false">((D15-D16-D17*D18)/60)*Stundensatz-D11</f>
        <v>1.18782608695652</v>
      </c>
      <c r="E47" s="35" t="s">
        <v>452</v>
      </c>
      <c r="F47" s="61" t="s">
        <v>512</v>
      </c>
    </row>
    <row r="48" customFormat="false" ht="15" hidden="false" customHeight="true" outlineLevel="0" collapsed="false">
      <c r="A48" s="54" t="s">
        <v>513</v>
      </c>
      <c r="B48" s="86" t="n">
        <f aca="false">IF(B47&gt;0,ROUNDUP((B29*Stundensatz+B19)/B47,0),"nie")</f>
        <v>106</v>
      </c>
      <c r="C48" s="86" t="n">
        <f aca="false">IF(C47&gt;0,ROUNDUP((C29*Stundensatz+C19)/C47,0),"nie")</f>
        <v>219</v>
      </c>
      <c r="D48" s="86" t="n">
        <f aca="false">IF(D47&gt;0,ROUNDUP((D29*Stundensatz+D19)/D47,0),"nie")</f>
        <v>442</v>
      </c>
      <c r="E48" s="35" t="s">
        <v>514</v>
      </c>
      <c r="F48" s="61" t="s">
        <v>515</v>
      </c>
    </row>
    <row r="49" customFormat="false" ht="15" hidden="false" customHeight="true" outlineLevel="0" collapsed="false">
      <c r="A49" s="68" t="s">
        <v>516</v>
      </c>
    </row>
    <row r="50" customFormat="false" ht="15" hidden="false" customHeight="true" outlineLevel="0" collapsed="false">
      <c r="A50" s="35" t="s">
        <v>517</v>
      </c>
      <c r="B50" s="60" t="n">
        <f aca="false">B32*Stundensatz_KMU-B35</f>
        <v>-43.3121655518395</v>
      </c>
      <c r="C50" s="60" t="n">
        <f aca="false">C32*Stundensatz_KMU-C35</f>
        <v>48.9920568561873</v>
      </c>
      <c r="D50" s="60" t="n">
        <f aca="false">D32*Stundensatz_KMU-D35</f>
        <v>573.636496655518</v>
      </c>
      <c r="E50" s="35" t="s">
        <v>466</v>
      </c>
      <c r="F50" s="61" t="s">
        <v>518</v>
      </c>
    </row>
    <row r="51" customFormat="false" ht="15" hidden="false" customHeight="true" outlineLevel="0" collapsed="false">
      <c r="A51" s="35" t="s">
        <v>519</v>
      </c>
      <c r="B51" s="71" t="str">
        <f aca="false">IF(B50&gt;0,(B40+(B25+B26)*Stundensatz_KMU)/B50,"keine")</f>
        <v>keine</v>
      </c>
      <c r="C51" s="71" t="n">
        <f aca="false">IF(C50&gt;0,(C40+(C25+C26)*Stundensatz_KMU)/C50,"keine")</f>
        <v>154.355869578203</v>
      </c>
      <c r="D51" s="71" t="n">
        <f aca="false">IF(D50&gt;0,(D40+(D25+D26)*Stundensatz_KMU)/D50,"keine")</f>
        <v>25.7620932580785</v>
      </c>
      <c r="E51" s="35" t="s">
        <v>72</v>
      </c>
      <c r="F51" s="61" t="s">
        <v>520</v>
      </c>
    </row>
    <row r="52" customFormat="false" ht="15" hidden="false" customHeight="true" outlineLevel="0" collapsed="false">
      <c r="A52" s="35" t="s">
        <v>521</v>
      </c>
      <c r="B52" s="82" t="n">
        <f aca="false">Horizont*B50-(B40+(B25+B26)*Stundensatz_KMU)</f>
        <v>-4370.59774247492</v>
      </c>
      <c r="C52" s="82" t="n">
        <f aca="false">Horizont*C50-(C40+(C25+C26)*Stundensatz_KMU)</f>
        <v>-6386.40217391304</v>
      </c>
      <c r="D52" s="82" t="n">
        <f aca="false">Horizont*D50-(D40+(D25+D26)*Stundensatz_KMU)</f>
        <v>-1010.80100334448</v>
      </c>
      <c r="E52" s="35" t="s">
        <v>452</v>
      </c>
      <c r="F52" s="61" t="s">
        <v>522</v>
      </c>
    </row>
    <row r="53" customFormat="false" ht="15" hidden="false" customHeight="true" outlineLevel="0" collapsed="false">
      <c r="A53" s="35" t="s">
        <v>523</v>
      </c>
      <c r="B53" s="60" t="n">
        <f aca="false">(B30-((B14*(B15+B16)/2+B14*B17*B18)/60+B29))*Stundensatz-B35</f>
        <v>-98.7304347826087</v>
      </c>
      <c r="C53" s="60" t="n">
        <f aca="false">(C30-((C14*(C15+C16)/2+C14*C17*C18)/60+C29))*Stundensatz-C35</f>
        <v>-128.652173913044</v>
      </c>
      <c r="D53" s="60" t="n">
        <f aca="false">(D30-((D14*(D15+D16)/2+D14*D17*D18)/60+D29))*Stundensatz-D35</f>
        <v>0.391304347826093</v>
      </c>
      <c r="E53" s="35" t="s">
        <v>466</v>
      </c>
      <c r="F53" s="61" t="s">
        <v>524</v>
      </c>
    </row>
    <row r="54" customFormat="false" ht="15" hidden="false" customHeight="true" outlineLevel="0" collapsed="false">
      <c r="A54" s="35" t="s">
        <v>525</v>
      </c>
      <c r="B54" s="71" t="str">
        <f aca="false">IF(B53&gt;0,B42/B53,"keine")</f>
        <v>keine</v>
      </c>
      <c r="C54" s="71" t="str">
        <f aca="false">IF(C53&gt;0,C42/C53,"keine")</f>
        <v>keine</v>
      </c>
      <c r="D54" s="71" t="n">
        <f aca="false">IF(D53&gt;0,D42/D53,"keine")</f>
        <v>39508.8888888883</v>
      </c>
      <c r="E54" s="35" t="s">
        <v>72</v>
      </c>
      <c r="F54" s="61" t="s">
        <v>526</v>
      </c>
    </row>
    <row r="55" customFormat="false" ht="15" hidden="false" customHeight="true" outlineLevel="0" collapsed="false">
      <c r="A55" s="35" t="s">
        <v>527</v>
      </c>
      <c r="B55" s="60" t="n">
        <f aca="false">(B30-((B14*B16+B14*2*B17*B18)/60+B29))*Stundensatz-B35</f>
        <v>-71.7304347826087</v>
      </c>
      <c r="C55" s="60" t="n">
        <f aca="false">(C30-((C14*C16+C14*2*C17*C18)/60+C29))*Stundensatz-C35</f>
        <v>6.34782608695647</v>
      </c>
      <c r="D55" s="60" t="n">
        <f aca="false">(D30-((D14*D16+D14*2*D17*D18)/60+D29))*Stundensatz-D35</f>
        <v>540.391304347826</v>
      </c>
      <c r="E55" s="35" t="s">
        <v>466</v>
      </c>
      <c r="F55" s="61" t="s">
        <v>528</v>
      </c>
    </row>
    <row r="56" customFormat="false" ht="15" hidden="false" customHeight="true" outlineLevel="0" collapsed="false">
      <c r="A56" s="35" t="s">
        <v>529</v>
      </c>
      <c r="B56" s="60" t="n">
        <f aca="false">B33-(B34*Preisfaktor_Szenario*USD_je_EUR/USD_je_EUR_Szenario+B19)</f>
        <v>-54.2</v>
      </c>
      <c r="C56" s="60" t="n">
        <f aca="false">C33-(C34*Preisfaktor_Szenario*USD_je_EUR/USD_je_EUR_Szenario+C19)</f>
        <v>93.9999999999999</v>
      </c>
      <c r="D56" s="60" t="n">
        <f aca="false">D33-(D34*Preisfaktor_Szenario*USD_je_EUR/USD_je_EUR_Szenario+D19)</f>
        <v>891</v>
      </c>
      <c r="E56" s="35" t="s">
        <v>466</v>
      </c>
      <c r="F56" s="61" t="s">
        <v>530</v>
      </c>
    </row>
    <row r="57" customFormat="false" ht="15" hidden="false" customHeight="true" outlineLevel="0" collapsed="false">
      <c r="A57" s="35" t="s">
        <v>531</v>
      </c>
      <c r="B57" s="60" t="n">
        <f aca="false">B38-B14*(B12-B11)</f>
        <v>-54.2521739130435</v>
      </c>
      <c r="C57" s="60" t="n">
        <f aca="false">C38-C14*(C12-C11)</f>
        <v>93.7391304347826</v>
      </c>
      <c r="D57" s="60" t="n">
        <f aca="false">D38-D14*(D12-D11)</f>
        <v>889.956521739131</v>
      </c>
      <c r="E57" s="35" t="s">
        <v>466</v>
      </c>
      <c r="F57" s="61" t="s">
        <v>532</v>
      </c>
    </row>
    <row r="58" customFormat="false" ht="15" hidden="false" customHeight="true" outlineLevel="0" collapsed="false">
      <c r="A58" s="35" t="s">
        <v>533</v>
      </c>
      <c r="B58" s="60" t="n">
        <f aca="false">B38-B29*(Extern_Stundensatz-Stundensatz)</f>
        <v>-182.063768115942</v>
      </c>
      <c r="C58" s="60" t="n">
        <f aca="false">C38-C29*(Extern_Stundensatz-Stundensatz)</f>
        <v>-160.31884057971</v>
      </c>
      <c r="D58" s="60" t="n">
        <f aca="false">D38-D29*(Extern_Stundensatz-Stundensatz)</f>
        <v>405.391304347826</v>
      </c>
      <c r="E58" s="35" t="s">
        <v>466</v>
      </c>
      <c r="F58" s="61" t="s">
        <v>534</v>
      </c>
    </row>
    <row r="59" customFormat="false" ht="15" hidden="false" customHeight="true" outlineLevel="0" collapsed="false">
      <c r="A59" s="35" t="s">
        <v>535</v>
      </c>
      <c r="B59" s="71" t="str">
        <f aca="false">IF(B58&gt;0,B42/B58,"keine")</f>
        <v>keine</v>
      </c>
      <c r="C59" s="71" t="str">
        <f aca="false">IF(C58&gt;0,C42/C58,"keine")</f>
        <v>keine</v>
      </c>
      <c r="D59" s="71" t="n">
        <f aca="false">IF(D58&gt;0,D42/D58,"keine")</f>
        <v>38.1359931359931</v>
      </c>
      <c r="E59" s="35" t="s">
        <v>72</v>
      </c>
      <c r="F59" s="61" t="s">
        <v>536</v>
      </c>
    </row>
    <row r="60" customFormat="false" ht="15" hidden="false" customHeight="true" outlineLevel="0" collapsed="false">
      <c r="A60" s="35" t="s">
        <v>537</v>
      </c>
      <c r="B60" s="74" t="n">
        <f aca="false">IF(B47&gt;0,ROUNDUP((B42/Horizont+B29*Stundensatz+B19)/B47,0),"nie")</f>
        <v>230</v>
      </c>
      <c r="C60" s="74" t="n">
        <f aca="false">IF(C47&gt;0,ROUNDUP((C42/Horizont+C29*Stundensatz+C19)/C47,0),"nie")</f>
        <v>499</v>
      </c>
      <c r="D60" s="74" t="n">
        <f aca="false">IF(D47&gt;0,ROUNDUP((D42/Horizont+D29*Stundensatz+D19)/D47,0),"nie")</f>
        <v>985</v>
      </c>
      <c r="E60" s="35" t="s">
        <v>514</v>
      </c>
      <c r="F60" s="61" t="s">
        <v>538</v>
      </c>
    </row>
    <row r="61" customFormat="false" ht="15" hidden="false" customHeight="true" outlineLevel="0" collapsed="false">
      <c r="A61" s="68" t="s">
        <v>650</v>
      </c>
    </row>
    <row r="62" customFormat="false" ht="15" hidden="false" customHeight="true" outlineLevel="0" collapsed="false">
      <c r="A62" s="35" t="s">
        <v>651</v>
      </c>
      <c r="B62" s="78" t="n">
        <v>6</v>
      </c>
      <c r="C62" s="78" t="n">
        <v>6</v>
      </c>
      <c r="D62" s="78" t="n">
        <v>6</v>
      </c>
      <c r="E62" s="35" t="s">
        <v>29</v>
      </c>
      <c r="F62" s="61" t="s">
        <v>652</v>
      </c>
    </row>
    <row r="63" customFormat="false" ht="15" hidden="false" customHeight="true" outlineLevel="0" collapsed="false">
      <c r="A63" s="35" t="s">
        <v>653</v>
      </c>
      <c r="B63" s="60" t="n">
        <f aca="false">(B14*B62/60-B31)*Stundensatz-B35</f>
        <v>81.2695652173913</v>
      </c>
      <c r="C63" s="60" t="n">
        <f aca="false">(C14*C62/60-C31)*Stundensatz-C35</f>
        <v>771.347826086957</v>
      </c>
      <c r="D63" s="60" t="n">
        <f aca="false">(D14*D62/60-D31)*Stundensatz-D35</f>
        <v>3600.39130434783</v>
      </c>
      <c r="E63" s="35" t="s">
        <v>466</v>
      </c>
      <c r="F63" s="61" t="s">
        <v>654</v>
      </c>
    </row>
    <row r="64" customFormat="false" ht="15" hidden="false" customHeight="true" outlineLevel="0" collapsed="false">
      <c r="A64" s="35" t="s">
        <v>655</v>
      </c>
      <c r="B64" s="71" t="n">
        <f aca="false">IF(B63&gt;0,B42/B63,"keine")</f>
        <v>43.4356944147229</v>
      </c>
      <c r="C64" s="71" t="n">
        <f aca="false">IF(C63&gt;0,C42/C63,"keine")</f>
        <v>10.319598669748</v>
      </c>
      <c r="D64" s="71" t="n">
        <f aca="false">IF(D63&gt;0,D42/D63,"keine")</f>
        <v>4.29397770773708</v>
      </c>
      <c r="E64" s="35" t="s">
        <v>72</v>
      </c>
      <c r="F64" s="61" t="s">
        <v>656</v>
      </c>
    </row>
    <row r="65" customFormat="false" ht="15" hidden="false" customHeight="true" outlineLevel="0" collapsed="false">
      <c r="A65" s="68" t="s">
        <v>657</v>
      </c>
    </row>
    <row r="66" customFormat="false" ht="15" hidden="false" customHeight="true" outlineLevel="0" collapsed="false">
      <c r="A66" s="35" t="s">
        <v>658</v>
      </c>
      <c r="B66" s="60" t="n">
        <f aca="false">MAX(0,B40/12-B39)</f>
        <v>262.397101449275</v>
      </c>
      <c r="C66" s="60" t="n">
        <f aca="false">MAX(0,C40/12-C39)</f>
        <v>566.985507246377</v>
      </c>
      <c r="D66" s="60" t="n">
        <f aca="false">MAX(0,D40/12-D39)</f>
        <v>725.442028985507</v>
      </c>
      <c r="E66" s="35" t="s">
        <v>466</v>
      </c>
      <c r="F66" s="61" t="s">
        <v>659</v>
      </c>
    </row>
    <row r="67" customFormat="false" ht="15" hidden="false" customHeight="true" outlineLevel="0" collapsed="false">
      <c r="A67" s="35" t="s">
        <v>660</v>
      </c>
      <c r="B67" s="56" t="n">
        <f aca="false">(B6*INDEX(Preise!$B$5:$B$17,MATCH(B9,Preise!$A$5:$A$17,0))+(B7+B8)*INDEX(Preise!$C$5:$C$17,MATCH(B9,Preise!$A$5:$A$17,0)))/1000000*Batchfaktor/USD_je_EUR</f>
        <v>0.00608695652173913</v>
      </c>
      <c r="C67" s="56" t="n">
        <f aca="false">(C6*INDEX(Preise!$B$5:$B$17,MATCH(C9,Preise!$A$5:$A$17,0))+(C7+C8)*INDEX(Preise!$C$5:$C$17,MATCH(C9,Preise!$A$5:$A$17,0)))/1000000*Batchfaktor/USD_je_EUR</f>
        <v>0.00608695652173913</v>
      </c>
      <c r="D67" s="56" t="n">
        <f aca="false">(D6*INDEX(Preise!$B$5:$B$17,MATCH(D9,Preise!$A$5:$A$17,0))+(D7+D8)*INDEX(Preise!$C$5:$C$17,MATCH(D9,Preise!$A$5:$A$17,0)))/1000000*Batchfaktor/USD_je_EUR</f>
        <v>0.00608695652173913</v>
      </c>
      <c r="E67" s="35" t="s">
        <v>452</v>
      </c>
      <c r="F67" s="61" t="s">
        <v>661</v>
      </c>
    </row>
    <row r="68" customFormat="false" ht="15" hidden="false" customHeight="true" outlineLevel="0" collapsed="false">
      <c r="A68" s="35" t="s">
        <v>662</v>
      </c>
      <c r="B68" s="85" t="n">
        <f aca="false">((B62-B16-B17*B18)/60)*Stundensatz-B11</f>
        <v>3.43782608695652</v>
      </c>
      <c r="C68" s="85" t="n">
        <f aca="false">((C62-C16-C17*C18)/60)*Stundensatz-C11</f>
        <v>3.43782608695652</v>
      </c>
      <c r="D68" s="85" t="n">
        <f aca="false">((D62-D16-D17*D18)/60)*Stundensatz-D11</f>
        <v>3.43782608695652</v>
      </c>
      <c r="E68" s="35" t="s">
        <v>452</v>
      </c>
      <c r="F68" s="61" t="s">
        <v>663</v>
      </c>
    </row>
    <row r="69" customFormat="false" ht="15" hidden="false" customHeight="true" outlineLevel="0" collapsed="false">
      <c r="A69" s="35" t="s">
        <v>664</v>
      </c>
      <c r="B69" s="74" t="n">
        <f aca="false">IF(B68&gt;0,ROUNDUP((B29*Stundensatz+B19)/B68,0),"nie")</f>
        <v>37</v>
      </c>
      <c r="C69" s="74" t="n">
        <f aca="false">IF(C68&gt;0,ROUNDUP((C29*Stundensatz+C19)/C68,0),"nie")</f>
        <v>76</v>
      </c>
      <c r="D69" s="74" t="n">
        <f aca="false">IF(D68&gt;0,ROUNDUP((D29*Stundensatz+D19)/D68,0),"nie")</f>
        <v>153</v>
      </c>
      <c r="E69" s="35" t="s">
        <v>665</v>
      </c>
      <c r="F69" s="61" t="s">
        <v>666</v>
      </c>
    </row>
    <row r="70" customFormat="false" ht="15" hidden="false" customHeight="true" outlineLevel="0" collapsed="false">
      <c r="A70" s="35" t="s">
        <v>667</v>
      </c>
      <c r="B70" s="74" t="n">
        <f aca="false">IF(B68&gt;0,ROUNDUP((B42/Horizont+B29*Stundensatz+B19)/B68,0),"nie")</f>
        <v>80</v>
      </c>
      <c r="C70" s="74" t="n">
        <f aca="false">IF(C68&gt;0,ROUNDUP((C42/Horizont+C29*Stundensatz+C19)/C68,0),"nie")</f>
        <v>173</v>
      </c>
      <c r="D70" s="74" t="n">
        <f aca="false">IF(D68&gt;0,ROUNDUP((D42/Horizont+D29*Stundensatz+D19)/D68,0),"nie")</f>
        <v>341</v>
      </c>
      <c r="E70" s="35" t="s">
        <v>665</v>
      </c>
      <c r="F70" s="61" t="s">
        <v>668</v>
      </c>
    </row>
  </sheetData>
  <sheetProtection sheet="true" formatColumns="false" formatRows="false"/>
  <dataValidations count="2">
    <dataValidation allowBlank="false" errorStyle="stop" operator="between" showDropDown="false" showErrorMessage="false" showInputMessage="false" sqref="B9" type="list">
      <formula1>Preise!$A$5:$A$17</formula1>
      <formula2>0</formula2>
    </dataValidation>
    <dataValidation allowBlank="false" errorStyle="stop" operator="between" showDropDown="false" showErrorMessage="false" showInputMessage="false" sqref="B10"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9" width="60"/>
    <col collapsed="false" customWidth="true" hidden="false" outlineLevel="0" max="5" min="2" style="29" width="16"/>
    <col collapsed="false" customWidth="true" hidden="false" outlineLevel="0" max="6" min="6" style="29" width="80"/>
  </cols>
  <sheetData>
    <row r="1" customFormat="false" ht="17.25" hidden="false" customHeight="true" outlineLevel="0" collapsed="false">
      <c r="A1" s="33" t="s">
        <v>669</v>
      </c>
    </row>
    <row r="2" customFormat="false" ht="15" hidden="false" customHeight="true" outlineLevel="0" collapsed="false">
      <c r="A2" s="48" t="s">
        <v>670</v>
      </c>
    </row>
    <row r="4" customFormat="false" ht="23.25" hidden="false" customHeight="true" outlineLevel="0" collapsed="false">
      <c r="A4" s="34" t="s">
        <v>440</v>
      </c>
      <c r="B4" s="34" t="s">
        <v>574</v>
      </c>
      <c r="C4" s="34" t="s">
        <v>575</v>
      </c>
      <c r="D4" s="34" t="s">
        <v>576</v>
      </c>
      <c r="E4" s="34" t="s">
        <v>23</v>
      </c>
      <c r="F4" s="34" t="s">
        <v>444</v>
      </c>
    </row>
    <row r="5" customFormat="false" ht="15" hidden="false" customHeight="true" outlineLevel="0" collapsed="false">
      <c r="A5" s="68" t="s">
        <v>41</v>
      </c>
    </row>
    <row r="6" customFormat="false" ht="15" hidden="false" customHeight="true" outlineLevel="0" collapsed="false">
      <c r="A6" s="35" t="s">
        <v>671</v>
      </c>
      <c r="B6" s="40" t="n">
        <v>2000</v>
      </c>
      <c r="C6" s="74" t="n">
        <f aca="false">$B6</f>
        <v>2000</v>
      </c>
      <c r="D6" s="74" t="n">
        <f aca="false">$B6</f>
        <v>2000</v>
      </c>
      <c r="E6" s="35" t="s">
        <v>153</v>
      </c>
      <c r="F6" s="61" t="s">
        <v>446</v>
      </c>
    </row>
    <row r="7" customFormat="false" ht="15" hidden="false" customHeight="true" outlineLevel="0" collapsed="false">
      <c r="A7" s="35" t="s">
        <v>672</v>
      </c>
      <c r="B7" s="40" t="n">
        <v>300</v>
      </c>
      <c r="C7" s="74" t="n">
        <f aca="false">$B7</f>
        <v>300</v>
      </c>
      <c r="D7" s="74" t="n">
        <f aca="false">$B7</f>
        <v>300</v>
      </c>
      <c r="E7" s="35" t="s">
        <v>153</v>
      </c>
      <c r="F7" s="61" t="s">
        <v>448</v>
      </c>
    </row>
    <row r="8" customFormat="false" ht="15" hidden="false" customHeight="true" outlineLevel="0" collapsed="false">
      <c r="A8" s="35" t="s">
        <v>673</v>
      </c>
      <c r="B8" s="40" t="n">
        <v>0</v>
      </c>
      <c r="C8" s="74" t="n">
        <f aca="false">$B8</f>
        <v>0</v>
      </c>
      <c r="D8" s="74" t="n">
        <f aca="false">$B8</f>
        <v>0</v>
      </c>
      <c r="E8" s="35" t="s">
        <v>153</v>
      </c>
      <c r="F8" s="61" t="s">
        <v>674</v>
      </c>
    </row>
    <row r="9" customFormat="false" ht="15" hidden="false" customHeight="true" outlineLevel="0" collapsed="false">
      <c r="A9" s="35" t="s">
        <v>195</v>
      </c>
      <c r="B9" s="52" t="s">
        <v>203</v>
      </c>
      <c r="C9" s="35" t="str">
        <f aca="false">$B9</f>
        <v>Claude Haiku 5.5</v>
      </c>
      <c r="D9" s="35" t="str">
        <f aca="false">$B9</f>
        <v>Claude Haiku 5.5</v>
      </c>
      <c r="E9" s="35"/>
      <c r="F9" s="61" t="s">
        <v>451</v>
      </c>
    </row>
    <row r="10" customFormat="false" ht="15" hidden="false" customHeight="true" outlineLevel="0" collapsed="false">
      <c r="A10" s="35" t="s">
        <v>675</v>
      </c>
      <c r="B10" s="52" t="s">
        <v>208</v>
      </c>
      <c r="C10" s="35" t="str">
        <f aca="false">$B10</f>
        <v>Claude Sonnet 5.5</v>
      </c>
      <c r="D10" s="35" t="str">
        <f aca="false">$B10</f>
        <v>Claude Sonnet 5.5</v>
      </c>
      <c r="E10" s="35"/>
      <c r="F10" s="61" t="s">
        <v>676</v>
      </c>
    </row>
    <row r="11" customFormat="false" ht="15" hidden="false" customHeight="true" outlineLevel="0" collapsed="false">
      <c r="A11" s="54" t="s">
        <v>41</v>
      </c>
      <c r="B11" s="56" t="n">
        <f aca="false">(B6*INDEX(Preise!$B$5:$B$17,MATCH(B9,Preise!$A$5:$A$17,0))+(B7+B8)*INDEX(Preise!$C$5:$C$17,MATCH(B9,Preise!$A$5:$A$17,0)))/1000000/USD_je_EUR</f>
        <v>0.000304347826086957</v>
      </c>
      <c r="C11" s="56" t="n">
        <f aca="false">(C6*INDEX(Preise!$B$5:$B$17,MATCH(C9,Preise!$A$5:$A$17,0))+(C7+C8)*INDEX(Preise!$C$5:$C$17,MATCH(C9,Preise!$A$5:$A$17,0)))/1000000/USD_je_EUR</f>
        <v>0.000304347826086957</v>
      </c>
      <c r="D11" s="56" t="n">
        <f aca="false">(D6*INDEX(Preise!$B$5:$B$17,MATCH(D9,Preise!$A$5:$A$17,0))+(D7+D8)*INDEX(Preise!$C$5:$C$17,MATCH(D9,Preise!$A$5:$A$17,0)))/1000000/USD_je_EUR</f>
        <v>0.000304347826086957</v>
      </c>
      <c r="E11" s="35" t="s">
        <v>452</v>
      </c>
      <c r="F11" s="53" t="s">
        <v>453</v>
      </c>
    </row>
    <row r="12" customFormat="false" ht="15" hidden="false" customHeight="true" outlineLevel="0" collapsed="false">
      <c r="A12" s="35" t="s">
        <v>454</v>
      </c>
      <c r="B12" s="56" t="n">
        <f aca="false">B11+Denk_Tokens_Szenario*INDEX(Preise!$C$5:$C$17,MATCH(B9,Preise!$A$5:$A$17,0))/1000000/USD_je_EUR</f>
        <v>0.000739130434782609</v>
      </c>
      <c r="C12" s="56" t="n">
        <f aca="false">C11+Denk_Tokens_Szenario*INDEX(Preise!$C$5:$C$17,MATCH(C9,Preise!$A$5:$A$17,0))/1000000/USD_je_EUR</f>
        <v>0.000739130434782609</v>
      </c>
      <c r="D12" s="56" t="n">
        <f aca="false">D11+Denk_Tokens_Szenario*INDEX(Preise!$C$5:$C$17,MATCH(D9,Preise!$A$5:$A$17,0))/1000000/USD_je_EUR</f>
        <v>0.000739130434782609</v>
      </c>
      <c r="E12" s="35" t="s">
        <v>452</v>
      </c>
      <c r="F12" s="61" t="s">
        <v>455</v>
      </c>
    </row>
    <row r="13" customFormat="false" ht="15" hidden="false" customHeight="true" outlineLevel="0" collapsed="false">
      <c r="A13" s="68" t="s">
        <v>456</v>
      </c>
    </row>
    <row r="14" customFormat="false" ht="15" hidden="false" customHeight="true" outlineLevel="0" collapsed="false">
      <c r="A14" s="35" t="s">
        <v>677</v>
      </c>
      <c r="B14" s="46" t="n">
        <v>100</v>
      </c>
      <c r="C14" s="46" t="n">
        <v>400</v>
      </c>
      <c r="D14" s="46" t="n">
        <v>1500</v>
      </c>
      <c r="E14" s="35" t="s">
        <v>26</v>
      </c>
      <c r="F14" s="61" t="s">
        <v>457</v>
      </c>
    </row>
    <row r="15" customFormat="false" ht="15" hidden="false" customHeight="true" outlineLevel="0" collapsed="false">
      <c r="A15" s="35" t="s">
        <v>678</v>
      </c>
      <c r="B15" s="78" t="n">
        <v>5</v>
      </c>
      <c r="C15" s="78" t="n">
        <v>5</v>
      </c>
      <c r="D15" s="78" t="n">
        <v>5</v>
      </c>
      <c r="E15" s="35" t="s">
        <v>29</v>
      </c>
      <c r="F15" s="61" t="s">
        <v>679</v>
      </c>
    </row>
    <row r="16" customFormat="false" ht="15" hidden="false" customHeight="true" outlineLevel="0" collapsed="false">
      <c r="A16" s="35" t="s">
        <v>680</v>
      </c>
      <c r="B16" s="78" t="n">
        <v>2</v>
      </c>
      <c r="C16" s="78" t="n">
        <v>2</v>
      </c>
      <c r="D16" s="78" t="n">
        <v>2</v>
      </c>
      <c r="E16" s="35" t="s">
        <v>29</v>
      </c>
      <c r="F16" s="61" t="s">
        <v>646</v>
      </c>
    </row>
    <row r="17" customFormat="false" ht="15" hidden="false" customHeight="true" outlineLevel="0" collapsed="false">
      <c r="A17" s="35" t="s">
        <v>681</v>
      </c>
      <c r="B17" s="69" t="n">
        <v>0.15</v>
      </c>
      <c r="C17" s="69" t="n">
        <v>0.15</v>
      </c>
      <c r="D17" s="69" t="n">
        <v>0.15</v>
      </c>
      <c r="E17" s="35" t="s">
        <v>34</v>
      </c>
      <c r="F17" s="61" t="s">
        <v>463</v>
      </c>
    </row>
    <row r="18" customFormat="false" ht="15" hidden="false" customHeight="true" outlineLevel="0" collapsed="false">
      <c r="A18" s="35" t="s">
        <v>682</v>
      </c>
      <c r="B18" s="80" t="n">
        <v>4</v>
      </c>
      <c r="C18" s="80" t="n">
        <v>4</v>
      </c>
      <c r="D18" s="80" t="n">
        <v>4</v>
      </c>
      <c r="E18" s="35" t="s">
        <v>29</v>
      </c>
      <c r="F18" s="61" t="s">
        <v>465</v>
      </c>
    </row>
    <row r="19" customFormat="false" ht="15" hidden="false" customHeight="true" outlineLevel="0" collapsed="false">
      <c r="A19" s="35" t="s">
        <v>44</v>
      </c>
      <c r="B19" s="45" t="n">
        <v>20</v>
      </c>
      <c r="C19" s="45" t="n">
        <v>40</v>
      </c>
      <c r="D19" s="45" t="n">
        <v>100</v>
      </c>
      <c r="E19" s="35" t="s">
        <v>466</v>
      </c>
      <c r="F19" s="61" t="s">
        <v>467</v>
      </c>
    </row>
    <row r="20" customFormat="false" ht="15" hidden="false" customHeight="true" outlineLevel="0" collapsed="false">
      <c r="A20" s="35" t="s">
        <v>468</v>
      </c>
      <c r="B20" s="80" t="n">
        <v>1</v>
      </c>
      <c r="C20" s="80" t="n">
        <v>3</v>
      </c>
      <c r="D20" s="80" t="n">
        <v>6</v>
      </c>
      <c r="E20" s="35" t="s">
        <v>48</v>
      </c>
      <c r="F20" s="61" t="s">
        <v>469</v>
      </c>
    </row>
    <row r="21" customFormat="false" ht="15" hidden="false" customHeight="true" outlineLevel="0" collapsed="false">
      <c r="A21" s="35" t="s">
        <v>50</v>
      </c>
      <c r="B21" s="80" t="n">
        <v>4</v>
      </c>
      <c r="C21" s="80" t="n">
        <v>8</v>
      </c>
      <c r="D21" s="80" t="n">
        <v>12</v>
      </c>
      <c r="E21" s="35" t="s">
        <v>51</v>
      </c>
      <c r="F21" s="61" t="s">
        <v>470</v>
      </c>
    </row>
    <row r="22" customFormat="false" ht="15" hidden="false" customHeight="true" outlineLevel="0" collapsed="false">
      <c r="A22" s="35" t="s">
        <v>53</v>
      </c>
      <c r="B22" s="78" t="n">
        <v>15</v>
      </c>
      <c r="C22" s="78" t="n">
        <v>30</v>
      </c>
      <c r="D22" s="78" t="n">
        <v>60</v>
      </c>
      <c r="E22" s="35" t="s">
        <v>54</v>
      </c>
      <c r="F22" s="61" t="s">
        <v>471</v>
      </c>
    </row>
    <row r="23" customFormat="false" ht="15" hidden="false" customHeight="true" outlineLevel="0" collapsed="false">
      <c r="A23" s="35" t="s">
        <v>472</v>
      </c>
      <c r="B23" s="81" t="n">
        <v>400</v>
      </c>
      <c r="C23" s="81" t="n">
        <v>600</v>
      </c>
      <c r="D23" s="81" t="n">
        <v>1000</v>
      </c>
      <c r="E23" s="35" t="s">
        <v>452</v>
      </c>
      <c r="F23" s="61" t="s">
        <v>473</v>
      </c>
    </row>
    <row r="24" customFormat="false" ht="15" hidden="false" customHeight="true" outlineLevel="0" collapsed="false">
      <c r="A24" s="35" t="s">
        <v>474</v>
      </c>
      <c r="B24" s="81" t="n">
        <v>200</v>
      </c>
      <c r="C24" s="81" t="n">
        <v>400</v>
      </c>
      <c r="D24" s="81" t="n">
        <v>800</v>
      </c>
      <c r="E24" s="35" t="s">
        <v>452</v>
      </c>
      <c r="F24" s="61" t="s">
        <v>475</v>
      </c>
    </row>
    <row r="25" customFormat="false" ht="15" hidden="false" customHeight="true" outlineLevel="0" collapsed="false">
      <c r="A25" s="35" t="s">
        <v>62</v>
      </c>
      <c r="B25" s="80" t="n">
        <v>2</v>
      </c>
      <c r="C25" s="80" t="n">
        <v>4</v>
      </c>
      <c r="D25" s="80" t="n">
        <v>8</v>
      </c>
      <c r="E25" s="35" t="s">
        <v>63</v>
      </c>
      <c r="F25" s="61" t="s">
        <v>476</v>
      </c>
    </row>
    <row r="26" customFormat="false" ht="15" hidden="false" customHeight="true" outlineLevel="0" collapsed="false">
      <c r="A26" s="35" t="s">
        <v>477</v>
      </c>
      <c r="B26" s="80" t="n">
        <v>8</v>
      </c>
      <c r="C26" s="80" t="n">
        <v>16</v>
      </c>
      <c r="D26" s="80" t="n">
        <v>30</v>
      </c>
      <c r="E26" s="35" t="s">
        <v>63</v>
      </c>
      <c r="F26" s="61" t="s">
        <v>478</v>
      </c>
    </row>
    <row r="27" customFormat="false" ht="21.75" hidden="false" customHeight="true" outlineLevel="0" collapsed="false">
      <c r="A27" s="35" t="s">
        <v>479</v>
      </c>
      <c r="B27" s="69" t="n">
        <v>0</v>
      </c>
      <c r="C27" s="69" t="n">
        <v>0.3</v>
      </c>
      <c r="D27" s="69" t="n">
        <v>0.5</v>
      </c>
      <c r="E27" s="35" t="s">
        <v>34</v>
      </c>
      <c r="F27" s="61" t="s">
        <v>480</v>
      </c>
    </row>
    <row r="28" customFormat="false" ht="15" hidden="false" customHeight="true" outlineLevel="0" collapsed="false">
      <c r="A28" s="68" t="s">
        <v>481</v>
      </c>
    </row>
    <row r="29" customFormat="false" ht="15" hidden="false" customHeight="true" outlineLevel="0" collapsed="false">
      <c r="A29" s="35" t="s">
        <v>482</v>
      </c>
      <c r="B29" s="71" t="n">
        <f aca="false">B20+B21/12</f>
        <v>1.33333333333333</v>
      </c>
      <c r="C29" s="71" t="n">
        <f aca="false">C20+C21/12</f>
        <v>3.66666666666667</v>
      </c>
      <c r="D29" s="71" t="n">
        <f aca="false">D20+D21/12</f>
        <v>7</v>
      </c>
      <c r="E29" s="35" t="s">
        <v>48</v>
      </c>
      <c r="F29" s="61" t="s">
        <v>483</v>
      </c>
    </row>
    <row r="30" customFormat="false" ht="15" hidden="false" customHeight="true" outlineLevel="0" collapsed="false">
      <c r="A30" s="35" t="s">
        <v>484</v>
      </c>
      <c r="B30" s="71" t="n">
        <f aca="false">B14*B15/60</f>
        <v>8.33333333333333</v>
      </c>
      <c r="C30" s="71" t="n">
        <f aca="false">C14*C15/60</f>
        <v>33.3333333333333</v>
      </c>
      <c r="D30" s="71" t="n">
        <f aca="false">D14*D15/60</f>
        <v>125</v>
      </c>
      <c r="E30" s="35" t="s">
        <v>48</v>
      </c>
      <c r="F30" s="61" t="s">
        <v>485</v>
      </c>
    </row>
    <row r="31" customFormat="false" ht="15" hidden="false" customHeight="true" outlineLevel="0" collapsed="false">
      <c r="A31" s="35" t="s">
        <v>486</v>
      </c>
      <c r="B31" s="71" t="n">
        <f aca="false">(B14*B16+B14*B17*B18)/60+B29</f>
        <v>5.66666666666667</v>
      </c>
      <c r="C31" s="71" t="n">
        <f aca="false">(C14*C16+C14*C17*C18)/60+C29</f>
        <v>21</v>
      </c>
      <c r="D31" s="71" t="n">
        <f aca="false">(D14*D16+D14*D17*D18)/60+D29</f>
        <v>72</v>
      </c>
      <c r="E31" s="35" t="s">
        <v>48</v>
      </c>
      <c r="F31" s="61" t="s">
        <v>487</v>
      </c>
    </row>
    <row r="32" customFormat="false" ht="15" hidden="false" customHeight="true" outlineLevel="0" collapsed="false">
      <c r="A32" s="35" t="s">
        <v>79</v>
      </c>
      <c r="B32" s="71" t="n">
        <f aca="false">B30-B31</f>
        <v>2.66666666666667</v>
      </c>
      <c r="C32" s="71" t="n">
        <f aca="false">C30-C31</f>
        <v>12.3333333333333</v>
      </c>
      <c r="D32" s="71" t="n">
        <f aca="false">D30-D31</f>
        <v>53</v>
      </c>
      <c r="E32" s="35" t="s">
        <v>48</v>
      </c>
      <c r="F32" s="61" t="s">
        <v>488</v>
      </c>
    </row>
    <row r="33" customFormat="false" ht="15" hidden="false" customHeight="true" outlineLevel="0" collapsed="false">
      <c r="A33" s="35" t="s">
        <v>489</v>
      </c>
      <c r="B33" s="60" t="n">
        <f aca="false">B32*Stundensatz</f>
        <v>120</v>
      </c>
      <c r="C33" s="60" t="n">
        <f aca="false">C32*Stundensatz</f>
        <v>555</v>
      </c>
      <c r="D33" s="60" t="n">
        <f aca="false">D32*Stundensatz</f>
        <v>2385</v>
      </c>
      <c r="E33" s="35" t="s">
        <v>466</v>
      </c>
      <c r="F33" s="61" t="s">
        <v>490</v>
      </c>
    </row>
    <row r="34" customFormat="false" ht="15" hidden="false" customHeight="true" outlineLevel="0" collapsed="false">
      <c r="A34" s="35" t="s">
        <v>491</v>
      </c>
      <c r="B34" s="60" t="n">
        <f aca="false">B14*B11</f>
        <v>0.0304347826086957</v>
      </c>
      <c r="C34" s="60" t="n">
        <f aca="false">C14*C11</f>
        <v>0.121739130434783</v>
      </c>
      <c r="D34" s="60" t="n">
        <f aca="false">D14*D11</f>
        <v>0.456521739130435</v>
      </c>
      <c r="E34" s="35" t="s">
        <v>466</v>
      </c>
      <c r="F34" s="61" t="s">
        <v>492</v>
      </c>
    </row>
    <row r="35" customFormat="false" ht="15" hidden="false" customHeight="true" outlineLevel="0" collapsed="false">
      <c r="A35" s="35" t="s">
        <v>493</v>
      </c>
      <c r="B35" s="60" t="n">
        <f aca="false">B34+B19</f>
        <v>20.0304347826087</v>
      </c>
      <c r="C35" s="60" t="n">
        <f aca="false">C34+C19</f>
        <v>40.1217391304348</v>
      </c>
      <c r="D35" s="60" t="n">
        <f aca="false">D34+D19</f>
        <v>100.45652173913</v>
      </c>
      <c r="E35" s="35" t="s">
        <v>466</v>
      </c>
      <c r="F35" s="61" t="s">
        <v>494</v>
      </c>
    </row>
    <row r="36" customFormat="false" ht="15" hidden="false" customHeight="true" outlineLevel="0" collapsed="false">
      <c r="A36" s="35" t="s">
        <v>495</v>
      </c>
      <c r="B36" s="60" t="n">
        <f aca="false">B15/60*Stundensatz</f>
        <v>3.75</v>
      </c>
      <c r="C36" s="60" t="n">
        <f aca="false">C15/60*Stundensatz</f>
        <v>3.75</v>
      </c>
      <c r="D36" s="60" t="n">
        <f aca="false">D15/60*Stundensatz</f>
        <v>3.75</v>
      </c>
      <c r="E36" s="35" t="s">
        <v>452</v>
      </c>
      <c r="F36" s="61" t="s">
        <v>496</v>
      </c>
    </row>
    <row r="37" customFormat="false" ht="15" hidden="false" customHeight="true" outlineLevel="0" collapsed="false">
      <c r="A37" s="35" t="s">
        <v>497</v>
      </c>
      <c r="B37" s="60" t="n">
        <f aca="false">(B31*Stundensatz+B35)/B14</f>
        <v>2.75030434782609</v>
      </c>
      <c r="C37" s="60" t="n">
        <f aca="false">(C31*Stundensatz+C35)/C14</f>
        <v>2.46280434782609</v>
      </c>
      <c r="D37" s="60" t="n">
        <f aca="false">(D31*Stundensatz+D35)/D14</f>
        <v>2.22697101449275</v>
      </c>
      <c r="E37" s="35" t="s">
        <v>452</v>
      </c>
      <c r="F37" s="61" t="s">
        <v>498</v>
      </c>
    </row>
    <row r="38" customFormat="false" ht="15" hidden="false" customHeight="true" outlineLevel="0" collapsed="false">
      <c r="A38" s="54" t="s">
        <v>499</v>
      </c>
      <c r="B38" s="57" t="n">
        <f aca="false">B33-B35</f>
        <v>99.9695652173914</v>
      </c>
      <c r="C38" s="57" t="n">
        <f aca="false">C33-C35</f>
        <v>514.878260869565</v>
      </c>
      <c r="D38" s="57" t="n">
        <f aca="false">D33-D35</f>
        <v>2284.54347826087</v>
      </c>
      <c r="E38" s="35" t="s">
        <v>466</v>
      </c>
      <c r="F38" s="61" t="s">
        <v>500</v>
      </c>
    </row>
    <row r="39" customFormat="false" ht="15" hidden="false" customHeight="true" outlineLevel="0" collapsed="false">
      <c r="A39" s="54" t="s">
        <v>501</v>
      </c>
      <c r="B39" s="57" t="n">
        <f aca="false">B33*B27-B35</f>
        <v>-20.0304347826087</v>
      </c>
      <c r="C39" s="57" t="n">
        <f aca="false">C33*C27-C35</f>
        <v>126.378260869565</v>
      </c>
      <c r="D39" s="57" t="n">
        <f aca="false">D33*D27-D35</f>
        <v>1092.04347826087</v>
      </c>
      <c r="E39" s="35" t="s">
        <v>466</v>
      </c>
      <c r="F39" s="61" t="s">
        <v>502</v>
      </c>
    </row>
    <row r="40" customFormat="false" ht="15" hidden="false" customHeight="true" outlineLevel="0" collapsed="false">
      <c r="A40" s="35" t="s">
        <v>503</v>
      </c>
      <c r="B40" s="82" t="n">
        <f aca="false">B22*Extern_Stundensatz+B23+B24</f>
        <v>2100</v>
      </c>
      <c r="C40" s="82" t="n">
        <f aca="false">C22*Extern_Stundensatz+C23+C24</f>
        <v>4000</v>
      </c>
      <c r="D40" s="82" t="n">
        <f aca="false">D22*Extern_Stundensatz+D23+D24</f>
        <v>7800</v>
      </c>
      <c r="E40" s="35" t="s">
        <v>452</v>
      </c>
      <c r="F40" s="61" t="s">
        <v>504</v>
      </c>
    </row>
    <row r="41" customFormat="false" ht="15" hidden="false" customHeight="true" outlineLevel="0" collapsed="false">
      <c r="A41" s="35" t="s">
        <v>505</v>
      </c>
      <c r="B41" s="82" t="n">
        <f aca="false">(B25+B26)*Stundensatz</f>
        <v>450</v>
      </c>
      <c r="C41" s="82" t="n">
        <f aca="false">(C25+C26)*Stundensatz</f>
        <v>900</v>
      </c>
      <c r="D41" s="82" t="n">
        <f aca="false">(D25+D26)*Stundensatz</f>
        <v>1710</v>
      </c>
      <c r="E41" s="35" t="s">
        <v>452</v>
      </c>
      <c r="F41" s="61" t="s">
        <v>506</v>
      </c>
    </row>
    <row r="42" customFormat="false" ht="15" hidden="false" customHeight="true" outlineLevel="0" collapsed="false">
      <c r="A42" s="35" t="s">
        <v>95</v>
      </c>
      <c r="B42" s="82" t="n">
        <f aca="false">B40+B41</f>
        <v>2550</v>
      </c>
      <c r="C42" s="82" t="n">
        <f aca="false">C40+C41</f>
        <v>4900</v>
      </c>
      <c r="D42" s="82" t="n">
        <f aca="false">D40+D41</f>
        <v>9510</v>
      </c>
      <c r="E42" s="35" t="s">
        <v>452</v>
      </c>
      <c r="F42" s="61" t="s">
        <v>507</v>
      </c>
    </row>
    <row r="43" customFormat="false" ht="15" hidden="false" customHeight="true" outlineLevel="0" collapsed="false">
      <c r="A43" s="54" t="s">
        <v>96</v>
      </c>
      <c r="B43" s="83" t="n">
        <f aca="false">IF(B38&gt;0,B42/B38,"keine")</f>
        <v>25.5077632322881</v>
      </c>
      <c r="C43" s="83" t="n">
        <f aca="false">IF(C38&gt;0,C42/C38,"keine")</f>
        <v>9.51681275438685</v>
      </c>
      <c r="D43" s="83" t="n">
        <f aca="false">IF(D38&gt;0,D42/D38,"keine")</f>
        <v>4.16275728192294</v>
      </c>
      <c r="E43" s="35" t="s">
        <v>72</v>
      </c>
      <c r="F43" s="61" t="s">
        <v>508</v>
      </c>
    </row>
    <row r="44" customFormat="false" ht="15" hidden="false" customHeight="true" outlineLevel="0" collapsed="false">
      <c r="A44" s="54" t="s">
        <v>98</v>
      </c>
      <c r="B44" s="83" t="str">
        <f aca="false">IF(B39&gt;0,B40/B39,"keine")</f>
        <v>keine</v>
      </c>
      <c r="C44" s="83" t="n">
        <f aca="false">IF(C39&gt;0,C40/C39,"keine")</f>
        <v>31.6510131764544</v>
      </c>
      <c r="D44" s="83" t="n">
        <f aca="false">IF(D39&gt;0,D40/D39,"keine")</f>
        <v>7.14257275948561</v>
      </c>
      <c r="E44" s="35" t="s">
        <v>72</v>
      </c>
      <c r="F44" s="61" t="s">
        <v>509</v>
      </c>
    </row>
    <row r="45" customFormat="false" ht="15" hidden="false" customHeight="true" outlineLevel="0" collapsed="false">
      <c r="A45" s="54" t="s">
        <v>100</v>
      </c>
      <c r="B45" s="84" t="n">
        <f aca="false">Horizont*B38-B42</f>
        <v>-150.730434782608</v>
      </c>
      <c r="C45" s="84" t="n">
        <f aca="false">Horizont*C38-C42</f>
        <v>7457.07826086957</v>
      </c>
      <c r="D45" s="84" t="n">
        <f aca="false">Horizont*D38-D42</f>
        <v>45319.0434782609</v>
      </c>
      <c r="E45" s="35" t="s">
        <v>452</v>
      </c>
      <c r="F45" s="61" t="s">
        <v>510</v>
      </c>
    </row>
    <row r="46" customFormat="false" ht="15" hidden="false" customHeight="true" outlineLevel="0" collapsed="false">
      <c r="A46" s="54" t="s">
        <v>101</v>
      </c>
      <c r="B46" s="84" t="n">
        <f aca="false">Horizont*B39-B40</f>
        <v>-2580.73043478261</v>
      </c>
      <c r="C46" s="84" t="n">
        <f aca="false">Horizont*C39-C40</f>
        <v>-966.921739130434</v>
      </c>
      <c r="D46" s="84" t="n">
        <f aca="false">Horizont*D39-D40</f>
        <v>18409.0434782609</v>
      </c>
      <c r="E46" s="35" t="s">
        <v>452</v>
      </c>
      <c r="F46" s="61" t="s">
        <v>511</v>
      </c>
    </row>
    <row r="47" customFormat="false" ht="15" hidden="false" customHeight="true" outlineLevel="0" collapsed="false">
      <c r="A47" s="35" t="s">
        <v>102</v>
      </c>
      <c r="B47" s="85" t="n">
        <f aca="false">((B15-B16-B17*B18)/60)*Stundensatz-B11</f>
        <v>1.79969565217391</v>
      </c>
      <c r="C47" s="85" t="n">
        <f aca="false">((C15-C16-C17*C18)/60)*Stundensatz-C11</f>
        <v>1.79969565217391</v>
      </c>
      <c r="D47" s="85" t="n">
        <f aca="false">((D15-D16-D17*D18)/60)*Stundensatz-D11</f>
        <v>1.79969565217391</v>
      </c>
      <c r="E47" s="35" t="s">
        <v>452</v>
      </c>
      <c r="F47" s="61" t="s">
        <v>512</v>
      </c>
    </row>
    <row r="48" customFormat="false" ht="15" hidden="false" customHeight="true" outlineLevel="0" collapsed="false">
      <c r="A48" s="54" t="s">
        <v>513</v>
      </c>
      <c r="B48" s="86" t="n">
        <f aca="false">IF(B47&gt;0,ROUNDUP((B29*Stundensatz+B19)/B47,0),"nie")</f>
        <v>45</v>
      </c>
      <c r="C48" s="86" t="n">
        <f aca="false">IF(C47&gt;0,ROUNDUP((C29*Stundensatz+C19)/C47,0),"nie")</f>
        <v>114</v>
      </c>
      <c r="D48" s="86" t="n">
        <f aca="false">IF(D47&gt;0,ROUNDUP((D29*Stundensatz+D19)/D47,0),"nie")</f>
        <v>231</v>
      </c>
      <c r="E48" s="35" t="s">
        <v>514</v>
      </c>
      <c r="F48" s="61" t="s">
        <v>515</v>
      </c>
    </row>
    <row r="49" customFormat="false" ht="15" hidden="false" customHeight="true" outlineLevel="0" collapsed="false">
      <c r="A49" s="68" t="s">
        <v>516</v>
      </c>
    </row>
    <row r="50" customFormat="false" ht="15" hidden="false" customHeight="true" outlineLevel="0" collapsed="false">
      <c r="A50" s="35" t="s">
        <v>517</v>
      </c>
      <c r="B50" s="60" t="n">
        <f aca="false">B32*Stundensatz_KMU-B35</f>
        <v>62.084949832776</v>
      </c>
      <c r="C50" s="60" t="n">
        <f aca="false">C32*Stundensatz_KMU-C35</f>
        <v>339.661914715719</v>
      </c>
      <c r="D50" s="60" t="n">
        <f aca="false">D32*Stundensatz_KMU-D35</f>
        <v>1531.58674749164</v>
      </c>
      <c r="E50" s="35" t="s">
        <v>466</v>
      </c>
      <c r="F50" s="61" t="s">
        <v>518</v>
      </c>
    </row>
    <row r="51" customFormat="false" ht="15" hidden="false" customHeight="true" outlineLevel="0" collapsed="false">
      <c r="A51" s="35" t="s">
        <v>519</v>
      </c>
      <c r="B51" s="71" t="n">
        <f aca="false">IF(B50&gt;0,(B40+(B25+B26)*Stundensatz_KMU)/B50,"keine")</f>
        <v>38.7844831765732</v>
      </c>
      <c r="C51" s="71" t="n">
        <f aca="false">IF(C50&gt;0,(C40+(C25+C26)*Stundensatz_KMU)/C50,"keine")</f>
        <v>13.58958771836</v>
      </c>
      <c r="D51" s="71" t="n">
        <f aca="false">IF(D50&gt;0,(D40+(D25+D26)*Stundensatz_KMU)/D50,"keine")</f>
        <v>5.85676537451118</v>
      </c>
      <c r="E51" s="35" t="s">
        <v>72</v>
      </c>
      <c r="F51" s="61" t="s">
        <v>520</v>
      </c>
    </row>
    <row r="52" customFormat="false" ht="15" hidden="false" customHeight="true" outlineLevel="0" collapsed="false">
      <c r="A52" s="35" t="s">
        <v>521</v>
      </c>
      <c r="B52" s="82" t="n">
        <f aca="false">Horizont*B50-(B40+(B25+B26)*Stundensatz_KMU)</f>
        <v>-917.893896321069</v>
      </c>
      <c r="C52" s="82" t="n">
        <f aca="false">Horizont*C50-(C40+(C25+C26)*Stundensatz_KMU)</f>
        <v>3536.02056856188</v>
      </c>
      <c r="D52" s="82" t="n">
        <f aca="false">Horizont*D50-(D40+(D25+D26)*Stundensatz_KMU)</f>
        <v>27787.9377090301</v>
      </c>
      <c r="E52" s="35" t="s">
        <v>452</v>
      </c>
      <c r="F52" s="61" t="s">
        <v>522</v>
      </c>
    </row>
    <row r="53" customFormat="false" ht="15" hidden="false" customHeight="true" outlineLevel="0" collapsed="false">
      <c r="A53" s="35" t="s">
        <v>523</v>
      </c>
      <c r="B53" s="60" t="n">
        <f aca="false">(B30-((B14*(B15+B16)/2+B14*B17*B18)/60+B29))*Stundensatz-B35</f>
        <v>-12.5304347826086</v>
      </c>
      <c r="C53" s="60" t="n">
        <f aca="false">(C30-((C14*(C15+C16)/2+C14*C17*C18)/60+C29))*Stundensatz-C35</f>
        <v>64.8782608695653</v>
      </c>
      <c r="D53" s="60" t="n">
        <f aca="false">(D30-((D14*(D15+D16)/2+D14*D17*D18)/60+D29))*Stundensatz-D35</f>
        <v>597.04347826087</v>
      </c>
      <c r="E53" s="35" t="s">
        <v>466</v>
      </c>
      <c r="F53" s="61" t="s">
        <v>524</v>
      </c>
    </row>
    <row r="54" customFormat="false" ht="15" hidden="false" customHeight="true" outlineLevel="0" collapsed="false">
      <c r="A54" s="35" t="s">
        <v>525</v>
      </c>
      <c r="B54" s="71" t="str">
        <f aca="false">IF(B53&gt;0,B42/B53,"keine")</f>
        <v>keine</v>
      </c>
      <c r="C54" s="71" t="n">
        <f aca="false">IF(C53&gt;0,C42/C53,"keine")</f>
        <v>75.5260688915694</v>
      </c>
      <c r="D54" s="71" t="n">
        <f aca="false">IF(D53&gt;0,D42/D53,"keine")</f>
        <v>15.9284882027381</v>
      </c>
      <c r="E54" s="35" t="s">
        <v>72</v>
      </c>
      <c r="F54" s="61" t="s">
        <v>526</v>
      </c>
    </row>
    <row r="55" customFormat="false" ht="15" hidden="false" customHeight="true" outlineLevel="0" collapsed="false">
      <c r="A55" s="35" t="s">
        <v>527</v>
      </c>
      <c r="B55" s="60" t="n">
        <f aca="false">(B30-((B14*B16+B14*2*B17*B18)/60+B29))*Stundensatz-B35</f>
        <v>54.9695652173914</v>
      </c>
      <c r="C55" s="60" t="n">
        <f aca="false">(C30-((C14*C16+C14*2*C17*C18)/60+C29))*Stundensatz-C35</f>
        <v>334.878260869565</v>
      </c>
      <c r="D55" s="60" t="n">
        <f aca="false">(D30-((D14*D16+D14*2*D17*D18)/60+D29))*Stundensatz-D35</f>
        <v>1609.54347826087</v>
      </c>
      <c r="E55" s="35" t="s">
        <v>466</v>
      </c>
      <c r="F55" s="61" t="s">
        <v>528</v>
      </c>
    </row>
    <row r="56" customFormat="false" ht="15" hidden="false" customHeight="true" outlineLevel="0" collapsed="false">
      <c r="A56" s="35" t="s">
        <v>529</v>
      </c>
      <c r="B56" s="60" t="n">
        <f aca="false">B33-(B34*Preisfaktor_Szenario*USD_je_EUR/USD_je_EUR_Szenario+B19)</f>
        <v>99.9500000000001</v>
      </c>
      <c r="C56" s="60" t="n">
        <f aca="false">C33-(C34*Preisfaktor_Szenario*USD_je_EUR/USD_je_EUR_Szenario+C19)</f>
        <v>514.8</v>
      </c>
      <c r="D56" s="60" t="n">
        <f aca="false">D33-(D34*Preisfaktor_Szenario*USD_je_EUR/USD_je_EUR_Szenario+D19)</f>
        <v>2284.25</v>
      </c>
      <c r="E56" s="35" t="s">
        <v>466</v>
      </c>
      <c r="F56" s="61" t="s">
        <v>530</v>
      </c>
    </row>
    <row r="57" customFormat="false" ht="15" hidden="false" customHeight="true" outlineLevel="0" collapsed="false">
      <c r="A57" s="35" t="s">
        <v>531</v>
      </c>
      <c r="B57" s="60" t="n">
        <f aca="false">B38-B14*(B12-B11)</f>
        <v>99.9260869565218</v>
      </c>
      <c r="C57" s="60" t="n">
        <f aca="false">C38-C14*(C12-C11)</f>
        <v>514.704347826087</v>
      </c>
      <c r="D57" s="60" t="n">
        <f aca="false">D38-D14*(D12-D11)</f>
        <v>2283.89130434783</v>
      </c>
      <c r="E57" s="35" t="s">
        <v>466</v>
      </c>
      <c r="F57" s="61" t="s">
        <v>532</v>
      </c>
    </row>
    <row r="58" customFormat="false" ht="15" hidden="false" customHeight="true" outlineLevel="0" collapsed="false">
      <c r="A58" s="35" t="s">
        <v>533</v>
      </c>
      <c r="B58" s="60" t="n">
        <f aca="false">B38-B29*(Extern_Stundensatz-Stundensatz)</f>
        <v>26.636231884058</v>
      </c>
      <c r="C58" s="60" t="n">
        <f aca="false">C38-C29*(Extern_Stundensatz-Stundensatz)</f>
        <v>313.211594202899</v>
      </c>
      <c r="D58" s="60" t="n">
        <f aca="false">D38-D29*(Extern_Stundensatz-Stundensatz)</f>
        <v>1899.54347826087</v>
      </c>
      <c r="E58" s="35" t="s">
        <v>466</v>
      </c>
      <c r="F58" s="61" t="s">
        <v>534</v>
      </c>
    </row>
    <row r="59" customFormat="false" ht="15" hidden="false" customHeight="true" outlineLevel="0" collapsed="false">
      <c r="A59" s="35" t="s">
        <v>535</v>
      </c>
      <c r="B59" s="71" t="n">
        <f aca="false">IF(B58&gt;0,B42/B58,"keine")</f>
        <v>95.7342619293757</v>
      </c>
      <c r="C59" s="71" t="n">
        <f aca="false">IF(C58&gt;0,C42/C58,"keine")</f>
        <v>15.644376168354</v>
      </c>
      <c r="D59" s="71" t="n">
        <f aca="false">IF(D58&gt;0,D42/D58,"keine")</f>
        <v>5.00646608452832</v>
      </c>
      <c r="E59" s="35" t="s">
        <v>72</v>
      </c>
      <c r="F59" s="61" t="s">
        <v>536</v>
      </c>
    </row>
    <row r="60" customFormat="false" ht="15" hidden="false" customHeight="true" outlineLevel="0" collapsed="false">
      <c r="A60" s="35" t="s">
        <v>537</v>
      </c>
      <c r="B60" s="74" t="n">
        <f aca="false">IF(B47&gt;0,ROUNDUP((B42/Horizont+B29*Stundensatz+B19)/B47,0),"nie")</f>
        <v>104</v>
      </c>
      <c r="C60" s="74" t="n">
        <f aca="false">IF(C47&gt;0,ROUNDUP((C42/Horizont+C29*Stundensatz+C19)/C47,0),"nie")</f>
        <v>228</v>
      </c>
      <c r="D60" s="74" t="n">
        <f aca="false">IF(D47&gt;0,ROUNDUP((D42/Horizont+D29*Stundensatz+D19)/D47,0),"nie")</f>
        <v>451</v>
      </c>
      <c r="E60" s="35" t="s">
        <v>514</v>
      </c>
      <c r="F60" s="61" t="s">
        <v>538</v>
      </c>
    </row>
    <row r="61" customFormat="false" ht="15" hidden="false" customHeight="true" outlineLevel="0" collapsed="false">
      <c r="A61" s="68" t="s">
        <v>683</v>
      </c>
    </row>
    <row r="62" customFormat="false" ht="15" hidden="false" customHeight="true" outlineLevel="0" collapsed="false">
      <c r="A62" s="35" t="s">
        <v>684</v>
      </c>
      <c r="B62" s="60" t="n">
        <f aca="false">MAX(0,B40/12-B39)</f>
        <v>195.030434782609</v>
      </c>
      <c r="C62" s="60" t="n">
        <f aca="false">MAX(0,C40/12-C39)</f>
        <v>206.955072463768</v>
      </c>
      <c r="D62" s="60" t="n">
        <f aca="false">MAX(0,D40/12-D39)</f>
        <v>0</v>
      </c>
      <c r="E62" s="35" t="s">
        <v>466</v>
      </c>
      <c r="F62" s="61" t="s">
        <v>659</v>
      </c>
    </row>
    <row r="63" customFormat="false" ht="15" hidden="false" customHeight="true" outlineLevel="0" collapsed="false">
      <c r="A63" s="35" t="s">
        <v>685</v>
      </c>
      <c r="B63" s="59" t="n">
        <f aca="false">B14*(B6*INDEX(Preise!$B$5:$B$17,MATCH(B10,Preise!$A$5:$A$17,0))+(B7+B8)*INDEX(Preise!$C$5:$C$17,MATCH(B10,Preise!$A$5:$A$17,0)))/1000000</f>
        <v>0.7</v>
      </c>
      <c r="C63" s="59" t="n">
        <f aca="false">C14*(C6*INDEX(Preise!$B$5:$B$17,MATCH(C10,Preise!$A$5:$A$17,0))+(C7+C8)*INDEX(Preise!$C$5:$C$17,MATCH(C10,Preise!$A$5:$A$17,0)))/1000000</f>
        <v>2.8</v>
      </c>
      <c r="D63" s="59" t="n">
        <f aca="false">D14*(D6*INDEX(Preise!$B$5:$B$17,MATCH(D10,Preise!$A$5:$A$17,0))+(D7+D8)*INDEX(Preise!$C$5:$C$17,MATCH(D10,Preise!$A$5:$A$17,0)))/1000000</f>
        <v>10.5</v>
      </c>
      <c r="E63" s="35" t="s">
        <v>172</v>
      </c>
      <c r="F63" s="61" t="s">
        <v>686</v>
      </c>
    </row>
  </sheetData>
  <sheetProtection sheet="true" formatColumns="false" formatRows="false"/>
  <dataValidations count="1">
    <dataValidation allowBlank="false" errorStyle="stop" operator="between" showDropDown="false" showErrorMessage="false" showInputMessage="false" sqref="B9:B10" type="list">
      <formula1>Preise!$A$5:$A$17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9" width="26"/>
    <col collapsed="false" customWidth="true" hidden="false" outlineLevel="0" max="4" min="2" style="29" width="14"/>
  </cols>
  <sheetData>
    <row r="1" customFormat="false" ht="17.25" hidden="false" customHeight="true" outlineLevel="0" collapsed="false">
      <c r="A1" s="33" t="s">
        <v>687</v>
      </c>
    </row>
    <row r="2" customFormat="false" ht="15" hidden="false" customHeight="true" outlineLevel="0" collapsed="false">
      <c r="A2" s="48" t="s">
        <v>688</v>
      </c>
    </row>
    <row r="4" customFormat="false" ht="15" hidden="false" customHeight="true" outlineLevel="0" collapsed="false">
      <c r="A4" s="75" t="s">
        <v>689</v>
      </c>
      <c r="B4" s="95" t="n">
        <v>0.01</v>
      </c>
      <c r="C4" s="95" t="n">
        <v>0.05</v>
      </c>
      <c r="D4" s="95" t="n">
        <v>0.1</v>
      </c>
    </row>
    <row r="5" customFormat="false" ht="15" hidden="false" customHeight="true" outlineLevel="0" collapsed="false">
      <c r="A5" s="40" t="n">
        <v>10</v>
      </c>
      <c r="B5" s="96" t="n">
        <f aca="false">(1-B$4)^$A5</f>
        <v>0.904382075008804</v>
      </c>
      <c r="C5" s="96" t="n">
        <f aca="false">(1-C$4)^$A5</f>
        <v>0.598736939238379</v>
      </c>
      <c r="D5" s="96" t="n">
        <f aca="false">(1-D$4)^$A5</f>
        <v>0.3486784401</v>
      </c>
    </row>
    <row r="6" customFormat="false" ht="15" hidden="false" customHeight="true" outlineLevel="0" collapsed="false">
      <c r="A6" s="40" t="n">
        <v>20</v>
      </c>
      <c r="B6" s="96" t="n">
        <f aca="false">(1-B$4)^$A6</f>
        <v>0.817906937597231</v>
      </c>
      <c r="C6" s="96" t="n">
        <f aca="false">(1-C$4)^$A6</f>
        <v>0.358485922408542</v>
      </c>
      <c r="D6" s="96" t="n">
        <f aca="false">(1-D$4)^$A6</f>
        <v>0.121576654590569</v>
      </c>
    </row>
    <row r="7" customFormat="false" ht="15" hidden="false" customHeight="true" outlineLevel="0" collapsed="false">
      <c r="A7" s="40" t="n">
        <v>30</v>
      </c>
      <c r="B7" s="96" t="n">
        <f aca="false">(1-B$4)^$A7</f>
        <v>0.73970037338828</v>
      </c>
      <c r="C7" s="96" t="n">
        <f aca="false">(1-C$4)^$A7</f>
        <v>0.214638763942937</v>
      </c>
      <c r="D7" s="96" t="n">
        <f aca="false">(1-D$4)^$A7</f>
        <v>0.0423911582752162</v>
      </c>
    </row>
    <row r="8" customFormat="false" ht="15" hidden="false" customHeight="true" outlineLevel="0" collapsed="false">
      <c r="A8" s="40" t="n">
        <v>50</v>
      </c>
      <c r="B8" s="96" t="n">
        <f aca="false">(1-B$4)^$A8</f>
        <v>0.605006067137536</v>
      </c>
      <c r="C8" s="96" t="n">
        <f aca="false">(1-C$4)^$A8</f>
        <v>0.0769449752767132</v>
      </c>
      <c r="D8" s="96" t="n">
        <f aca="false">(1-D$4)^$A8</f>
        <v>0.00515377520732012</v>
      </c>
    </row>
    <row r="10" customFormat="false" ht="15" hidden="false" customHeight="true" outlineLevel="0" collapsed="false">
      <c r="A10" s="54" t="s">
        <v>690</v>
      </c>
      <c r="B10" s="69" t="n">
        <v>0.9</v>
      </c>
    </row>
    <row r="11" customFormat="false" ht="15" hidden="false" customHeight="true" outlineLevel="0" collapsed="false">
      <c r="A11" s="97" t="s">
        <v>691</v>
      </c>
    </row>
    <row r="12" customFormat="false" ht="15" hidden="false" customHeight="true" outlineLevel="0" collapsed="false">
      <c r="A12" s="75" t="s">
        <v>692</v>
      </c>
      <c r="B12" s="75" t="s">
        <v>105</v>
      </c>
    </row>
    <row r="13" customFormat="false" ht="15" hidden="false" customHeight="true" outlineLevel="0" collapsed="false">
      <c r="A13" s="42" t="n">
        <v>0.02</v>
      </c>
      <c r="B13" s="74" t="n">
        <f aca="false">ROUNDUP(LN(1-$B$10)/LN(1-A13),0)</f>
        <v>114</v>
      </c>
    </row>
    <row r="14" customFormat="false" ht="15" hidden="false" customHeight="true" outlineLevel="0" collapsed="false">
      <c r="A14" s="42" t="n">
        <v>0.05</v>
      </c>
      <c r="B14" s="74" t="n">
        <f aca="false">ROUNDUP(LN(1-$B$10)/LN(1-A14),0)</f>
        <v>45</v>
      </c>
    </row>
    <row r="15" customFormat="false" ht="15" hidden="false" customHeight="true" outlineLevel="0" collapsed="false">
      <c r="A15" s="42" t="n">
        <v>0.1</v>
      </c>
      <c r="B15" s="74" t="n">
        <f aca="false">ROUNDUP(LN(1-$B$10)/LN(1-A15),0)</f>
        <v>22</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2026-10-25T10:52:28Z</dcterms:created>
  <dc:creator>openpyxl</dc:creator>
  <dc:description/>
  <dc:language>en-US</dc:language>
  <cp:lastModifiedBy/>
  <dcterms:modified xsi:type="dcterms:W3CDTF">2026-10-27T10:27:49Z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